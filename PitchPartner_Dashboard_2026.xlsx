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Funnel Vendite" sheetId="2" r:id="rId6"/>
    <sheet state="visible" name="Copia di Funnel Vendite" sheetId="3" r:id="rId7"/>
    <sheet state="visible" name="Mix Clienti Revenue" sheetId="4" r:id="rId8"/>
    <sheet state="visible" name="Scenari" sheetId="5" r:id="rId9"/>
    <sheet state="visible" name="KPI Prodotto" sheetId="6" r:id="rId10"/>
    <sheet state="visible" name="Credibilità Investor" sheetId="7" r:id="rId11"/>
    <sheet state="visible" name="Cash Flow" sheetId="8" r:id="rId12"/>
    <sheet state="visible" name="Milestone" sheetId="9" r:id="rId13"/>
  </sheets>
  <definedNames/>
  <calcPr/>
</workbook>
</file>

<file path=xl/sharedStrings.xml><?xml version="1.0" encoding="utf-8"?>
<sst xmlns="http://schemas.openxmlformats.org/spreadsheetml/2006/main" count="505" uniqueCount="276">
  <si>
    <t>PITCHPARTNER - DASHBOARD MONITORAGGIO 2026</t>
  </si>
  <si>
    <t>Data ultimo aggiornamento: 4 febbraio 2026 | Stato: Pre-Revenue</t>
  </si>
  <si>
    <t>📊 KPI PRINCIPALI</t>
  </si>
  <si>
    <t>Target Club 2026</t>
  </si>
  <si>
    <t>15</t>
  </si>
  <si>
    <t>Club Attuali</t>
  </si>
  <si>
    <t>0</t>
  </si>
  <si>
    <t>Target ARR</t>
  </si>
  <si>
    <t>€225.000</t>
  </si>
  <si>
    <t>ARR Attuale</t>
  </si>
  <si>
    <t>€0</t>
  </si>
  <si>
    <t>Win Rate Target</t>
  </si>
  <si>
    <t>50%</t>
  </si>
  <si>
    <t>Sales Cycle</t>
  </si>
  <si>
    <t>60-90 gg</t>
  </si>
  <si>
    <t>📅 OBIETTIVI TRIMESTRALI</t>
  </si>
  <si>
    <t>Trimestre</t>
  </si>
  <si>
    <t>Club Target</t>
  </si>
  <si>
    <t>% Raggiung.</t>
  </si>
  <si>
    <t>ARR Target</t>
  </si>
  <si>
    <t>Revenue Add-on</t>
  </si>
  <si>
    <t>Demo Target</t>
  </si>
  <si>
    <t>Demo Effettuate</t>
  </si>
  <si>
    <t>Contratti Target</t>
  </si>
  <si>
    <t>Contratti Chiusi</t>
  </si>
  <si>
    <t>Status</t>
  </si>
  <si>
    <t>Q1 2026</t>
  </si>
  <si>
    <t>In Corso</t>
  </si>
  <si>
    <t>Q2 2026</t>
  </si>
  <si>
    <t>Pianificato</t>
  </si>
  <si>
    <t>Q3 2026</t>
  </si>
  <si>
    <t>Q4 2026</t>
  </si>
  <si>
    <t>TOTALE 2026</t>
  </si>
  <si>
    <t>📈 FUNNEL VENDITE 2026</t>
  </si>
  <si>
    <t>Fase Funnel</t>
  </si>
  <si>
    <t>Target Annuo</t>
  </si>
  <si>
    <t>Attuale</t>
  </si>
  <si>
    <t>Conv. Rate Target</t>
  </si>
  <si>
    <t>Conv. Rate Attuale</t>
  </si>
  <si>
    <t>Note</t>
  </si>
  <si>
    <t>Club Contattati</t>
  </si>
  <si>
    <t>-</t>
  </si>
  <si>
    <t>Target: 10/mese</t>
  </si>
  <si>
    <t>37%</t>
  </si>
  <si>
    <t>Conversione contatto→demo</t>
  </si>
  <si>
    <t>Proposte Inviate</t>
  </si>
  <si>
    <t>67%</t>
  </si>
  <si>
    <t>Conversione demo→proposta</t>
  </si>
  <si>
    <t>Win rate proposta→chiusura</t>
  </si>
  <si>
    <t>📊 TRACKING VENDITE MENSILE</t>
  </si>
  <si>
    <t>Mese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</si>
  <si>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</si>
  <si>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</si>
  <si>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</si>
  <si>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</si>
  <si>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</si>
  <si>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</si>
  <si>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</si>
  <si>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</si>
  <si>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</si>
  <si>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</si>
  <si>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</si>
  <si>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</si>
  <si>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Totale</t>
  </si>
  <si>
    <t>Contatti</t>
  </si>
  <si>
    <t>Demo</t>
  </si>
  <si>
    <t>Proposte</t>
  </si>
  <si>
    <t>Contratti</t>
  </si>
  <si>
    <t>Booking (€)</t>
  </si>
  <si>
    <t>📅 SPLIT MENSILE 2026 - PITCHPARTNER</t>
  </si>
  <si>
    <t>📊 VENDITE &amp; BOOKING MENSILE</t>
  </si>
  <si>
    <t>Metrica</t>
  </si>
  <si>
    <t>TOT Anno</t>
  </si>
  <si>
    <t>Target</t>
  </si>
  <si>
    <t>Δ vs Target</t>
  </si>
  <si>
    <t>Contratti Actual</t>
  </si>
  <si>
    <t>Booking Target (€)</t>
  </si>
  <si>
    <t>Booking Actual (€)</t>
  </si>
  <si>
    <t>Booking Cumulato Target</t>
  </si>
  <si>
    <t>Booking Cumulato Actual</t>
  </si>
  <si>
    <t>🏟️ CLUB ATTIVI MENSILE</t>
  </si>
  <si>
    <t>Nuovi Club Target</t>
  </si>
  <si>
    <t>Nuovi Club Actual</t>
  </si>
  <si>
    <t>Club Cumulati Target</t>
  </si>
  <si>
    <t>Club Cumulati Actual</t>
  </si>
  <si>
    <t>Basic Target</t>
  </si>
  <si>
    <t>Basic Actual</t>
  </si>
  <si>
    <t>Premium Target</t>
  </si>
  <si>
    <t>Premium Actual</t>
  </si>
  <si>
    <t>Elite Target</t>
  </si>
  <si>
    <t>Elite Actual</t>
  </si>
  <si>
    <t>📈 FUNNEL COMMERCIALE MENSILE</t>
  </si>
  <si>
    <t>Contatti Target</t>
  </si>
  <si>
    <t>Contatti Actual</t>
  </si>
  <si>
    <t>Demo Actual</t>
  </si>
  <si>
    <t>Proposte Target</t>
  </si>
  <si>
    <t>Proposte Actual</t>
  </si>
  <si>
    <t>💰 ARR &amp; REVENUE MENSILE</t>
  </si>
  <si>
    <t>ARR Nuovo Target (€)</t>
  </si>
  <si>
    <t>ARR Nuovo Actual (€)</t>
  </si>
  <si>
    <t>ARR Cumulato Target</t>
  </si>
  <si>
    <t>ARR Cumulato Actual</t>
  </si>
  <si>
    <t>MRR Target (€)</t>
  </si>
  <si>
    <t>MRR Actual (€)</t>
  </si>
  <si>
    <t>🔧 ADD-ON REVENUE MENSILE</t>
  </si>
  <si>
    <t>Setup/Onboarding Target (€)</t>
  </si>
  <si>
    <t>Setup/Onboarding Actual (€)</t>
  </si>
  <si>
    <t>Formazione Target (€)</t>
  </si>
  <si>
    <t>Formazione Actual (€)</t>
  </si>
  <si>
    <t>Custom/Integrazioni Target (€)</t>
  </si>
  <si>
    <t>Custom/Integrazioni Actual (€)</t>
  </si>
  <si>
    <t>--</t>
  </si>
  <si>
    <t>TOTALE Add-on Target (€)</t>
  </si>
  <si>
    <t>TOTALE Add-on Actual (€)</t>
  </si>
  <si>
    <t>📊 RIEPILOGO TRIMESTRALE</t>
  </si>
  <si>
    <t>Q1 Target</t>
  </si>
  <si>
    <t>Q1 Actual</t>
  </si>
  <si>
    <t>Q2 Target</t>
  </si>
  <si>
    <t>Q2 Actual</t>
  </si>
  <si>
    <t>Q3 Target</t>
  </si>
  <si>
    <t>Q3 Actual</t>
  </si>
  <si>
    <t>Q4 Target</t>
  </si>
  <si>
    <t>Q4 Actual</t>
  </si>
  <si>
    <t>FY Target</t>
  </si>
  <si>
    <t>FY Actual</t>
  </si>
  <si>
    <t>Club Nuovi</t>
  </si>
  <si>
    <t>Club Cumulati</t>
  </si>
  <si>
    <t>ARR Cumulato (€)</t>
  </si>
  <si>
    <t>Add-on (€)</t>
  </si>
  <si>
    <t>💰 MIX CLIENTI &amp; REVENUE 2026</t>
  </si>
  <si>
    <t>Piano</t>
  </si>
  <si>
    <t>Prezzo Annuo</t>
  </si>
  <si>
    <t>Target Club</t>
  </si>
  <si>
    <t>Revenue Target</t>
  </si>
  <si>
    <t>Revenue Attuale</t>
  </si>
  <si>
    <t>% Revenue</t>
  </si>
  <si>
    <t>Basic/Kickoff</t>
  </si>
  <si>
    <t>Premium</t>
  </si>
  <si>
    <t>Elite</t>
  </si>
  <si>
    <t>TOTALE</t>
  </si>
  <si>
    <t>🔧 REVENUE ADD-ON</t>
  </si>
  <si>
    <t>Servizio Add-on</t>
  </si>
  <si>
    <t>Prezzo Unitario</t>
  </si>
  <si>
    <t>Quantità Target</t>
  </si>
  <si>
    <t>Quantità Attuale</t>
  </si>
  <si>
    <t>Setup &amp; Onboarding</t>
  </si>
  <si>
    <t>Formazione Team</t>
  </si>
  <si>
    <t>Custom/Integrazioni</t>
  </si>
  <si>
    <t>TOTALE ADD-ON</t>
  </si>
  <si>
    <t>📊 RIEPILOGO FATTURATO 2026</t>
  </si>
  <si>
    <t>Componente</t>
  </si>
  <si>
    <t>ARR SaaS</t>
  </si>
  <si>
    <t>FATTURATO TOTALE</t>
  </si>
  <si>
    <t>📈 ANALISI SCENARI 2026</t>
  </si>
  <si>
    <t>Scenario</t>
  </si>
  <si>
    <t>Club Totali</t>
  </si>
  <si>
    <t>Basic</t>
  </si>
  <si>
    <t>Add-on Min</t>
  </si>
  <si>
    <t>Add-on Max</t>
  </si>
  <si>
    <t>Fatturato Min</t>
  </si>
  <si>
    <t>Fatturato Max</t>
  </si>
  <si>
    <t>Conservativo</t>
  </si>
  <si>
    <t>Base (Target)</t>
  </si>
  <si>
    <t>Aggressivo</t>
  </si>
  <si>
    <t>📊 PROBABILITÀ E VALORE ATTESO</t>
  </si>
  <si>
    <t>Probabilità</t>
  </si>
  <si>
    <t>Fatturato Medio</t>
  </si>
  <si>
    <t>Valore Atteso</t>
  </si>
  <si>
    <t>VALORE ATTESO TOTALE</t>
  </si>
  <si>
    <t>🛠️ KPI PRODOTTO &amp; ADOZIONE</t>
  </si>
  <si>
    <t>📊 METRICHE DI ATTIVAZIONE</t>
  </si>
  <si>
    <t>Tempo medio onboarding</t>
  </si>
  <si>
    <t>≤30 giorni</t>
  </si>
  <si>
    <t>N/A</t>
  </si>
  <si>
    <t>In giorni dal contratto</t>
  </si>
  <si>
    <t>Club fully onboarded</t>
  </si>
  <si>
    <t>&gt;80%</t>
  </si>
  <si>
    <t>Asset + sponsor caricati</t>
  </si>
  <si>
    <t>Sponsor caricati per club</t>
  </si>
  <si>
    <t>15-30</t>
  </si>
  <si>
    <t>Media per club</t>
  </si>
  <si>
    <t>Asset gestiti per club</t>
  </si>
  <si>
    <t>50+</t>
  </si>
  <si>
    <t>Documenti, media, etc.</t>
  </si>
  <si>
    <t>Eventi tracciati/stagione</t>
  </si>
  <si>
    <t>20+</t>
  </si>
  <si>
    <t>Per club attivo</t>
  </si>
  <si>
    <t>🤝 ENGAGEMENT SPONSOR</t>
  </si>
  <si>
    <t>Sponsor con accesso attivo</t>
  </si>
  <si>
    <t>&gt;70%</t>
  </si>
  <si>
    <t>Sul totale caricato</t>
  </si>
  <si>
    <t>Accessi mensili medi</t>
  </si>
  <si>
    <t>2-4</t>
  </si>
  <si>
    <t>Per sponsor attivo</t>
  </si>
  <si>
    <t>Utilizzo funzionalità</t>
  </si>
  <si>
    <t>&gt;50%</t>
  </si>
  <si>
    <t>Feature adoption rate</t>
  </si>
  <si>
    <t>⭐ RETENTION &amp; QUALITÀ</t>
  </si>
  <si>
    <t>Churn clienti</t>
  </si>
  <si>
    <t>&lt;10%</t>
  </si>
  <si>
    <t>Annuale, target early stage</t>
  </si>
  <si>
    <t>Renewal intention</t>
  </si>
  <si>
    <t>Survey Q4 2026</t>
  </si>
  <si>
    <t>NPS Club</t>
  </si>
  <si>
    <t>≥30</t>
  </si>
  <si>
    <t>Net Promoter Score</t>
  </si>
  <si>
    <t>Case study pubblicabili</t>
  </si>
  <si>
    <t>≥3</t>
  </si>
  <si>
    <t>In Progress</t>
  </si>
  <si>
    <t>Target Q4</t>
  </si>
  <si>
    <t>🎯 KPI CREDIBILITÀ (INVESTOR-READY)</t>
  </si>
  <si>
    <t>KPI</t>
  </si>
  <si>
    <t>Target 2026</t>
  </si>
  <si>
    <t>Deadline</t>
  </si>
  <si>
    <t>Club con brand riconoscibile</t>
  </si>
  <si>
    <t>≥5</t>
  </si>
  <si>
    <t>Serie A/B o equivalente</t>
  </si>
  <si>
    <t>Partnership istituzionali</t>
  </si>
  <si>
    <t>1-2 MoU</t>
  </si>
  <si>
    <t>Leghe/Federazioni</t>
  </si>
  <si>
    <t>Testimonianze scritte/video</t>
  </si>
  <si>
    <t>Da club clienti</t>
  </si>
  <si>
    <t>Deck investitori validato</t>
  </si>
  <si>
    <t>1</t>
  </si>
  <si>
    <t>Con metriche reali</t>
  </si>
  <si>
    <t>ARR dimostrabile</t>
  </si>
  <si>
    <t>€225k</t>
  </si>
  <si>
    <t>Revenue ricorrente</t>
  </si>
  <si>
    <t>Club paganti e attivi</t>
  </si>
  <si>
    <t>Proof of value</t>
  </si>
  <si>
    <t>💵 CASH-IN REALE 2026</t>
  </si>
  <si>
    <t>📋 ASSUNZIONI INCASSO</t>
  </si>
  <si>
    <t>Abbonamenti - pagamento upfront</t>
  </si>
  <si>
    <t>60%</t>
  </si>
  <si>
    <t>Abbonamenti - pagamento rateale (12 mesi)</t>
  </si>
  <si>
    <t>40%</t>
  </si>
  <si>
    <t>Add-on - pagamento upfront</t>
  </si>
  <si>
    <t>100%</t>
  </si>
  <si>
    <t>📊 CASH-IN PER SCENARIO</t>
  </si>
  <si>
    <t>ARR Totale</t>
  </si>
  <si>
    <t>SaaS Incassato 2026</t>
  </si>
  <si>
    <t>Add-on Incassato</t>
  </si>
  <si>
    <t>Cash-in Totale 2026</t>
  </si>
  <si>
    <t>✅ MILESTONE &amp; CHECKLIST 2026</t>
  </si>
  <si>
    <t>Milestone</t>
  </si>
  <si>
    <t>Data Completamento</t>
  </si>
  <si>
    <t>Owner</t>
  </si>
  <si>
    <t>MVP funzionante</t>
  </si>
  <si>
    <t>Q1</t>
  </si>
  <si>
    <t>Core features attive</t>
  </si>
  <si>
    <t>10-15 demo effettuate</t>
  </si>
  <si>
    <t>Pipeline iniziale</t>
  </si>
  <si>
    <t>1° club pilota chiuso</t>
  </si>
  <si>
    <t>Not Started</t>
  </si>
  <si>
    <t>Primo cliente</t>
  </si>
  <si>
    <t>3 club attivi</t>
  </si>
  <si>
    <t>Q2</t>
  </si>
  <si>
    <t>Validazione iniziale</t>
  </si>
  <si>
    <t>Prime revenue €30-50k</t>
  </si>
  <si>
    <t>First revenue</t>
  </si>
  <si>
    <t>Feedback prodotto strutturato</t>
  </si>
  <si>
    <t>Voice of customer</t>
  </si>
  <si>
    <t>7 club totali</t>
  </si>
  <si>
    <t>Q3</t>
  </si>
  <si>
    <t>Growth fase 1</t>
  </si>
  <si>
    <t>ARR run-rate €120k</t>
  </si>
  <si>
    <t>Trazione</t>
  </si>
  <si>
    <t>1 caso studio solido</t>
  </si>
  <si>
    <t>15 club totali</t>
  </si>
  <si>
    <t>Q4</t>
  </si>
  <si>
    <t>ARR €225k</t>
  </si>
  <si>
    <t>Revenue target</t>
  </si>
  <si>
    <t>3 case study</t>
  </si>
  <si>
    <t>Marketing assets</t>
  </si>
  <si>
    <t>Investor narrative pronta</t>
  </si>
  <si>
    <t>Fundraising 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</si>
</sst>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€#,##0"/>
    <numFmt numFmtId="165" formatCode="&quot;€&quot;#,##0"/>
  </numFmts>
  <fonts count="12">
    <font>
      <sz val="11.0"/>
      <color theme="1"/>
      <name val="Calibri"/>
      <scheme val="minor"/>
    </font>
    <font>
      <b/>
      <sz val="18.0"/>
      <color rgb="FF000000"/>
      <name val="TASA Orbiter"/>
    </font>
    <font>
      <color theme="1"/>
      <name val="TASA Orbiter"/>
    </font>
    <font>
      <sz val="11.0"/>
      <color theme="1"/>
      <name val="TASA Orbiter"/>
    </font>
    <font>
      <b/>
      <sz val="14.0"/>
      <color rgb="FF1B5E20"/>
      <name val="TASA Orbiter"/>
    </font>
    <font>
      <b/>
      <sz val="10.0"/>
      <color theme="1"/>
      <name val="TASA Orbiter"/>
    </font>
    <font>
      <b/>
      <sz val="14.0"/>
      <color theme="1"/>
      <name val="TASA Orbiter"/>
    </font>
    <font>
      <b/>
      <sz val="12.0"/>
      <color rgb="FFFFFFFF"/>
      <name val="TASA Orbiter"/>
    </font>
    <font>
      <b/>
      <sz val="11.0"/>
      <color theme="1"/>
      <name val="TASA Orbiter"/>
    </font>
    <font>
      <b/>
      <sz val="16.0"/>
      <color rgb="FF1B5E20"/>
      <name val="TASA Orbiter"/>
    </font>
    <font>
      <sz val="11.0"/>
      <color rgb="FF000000"/>
      <name val="TASA Orbiter"/>
    </font>
    <font>
      <b/>
      <sz val="11.0"/>
      <color rgb="FFFFFFFF"/>
      <name val="TASA Orbiter"/>
    </font>
  </fonts>
  <fills count="5">
    <fill>
      <patternFill patternType="none"/>
    </fill>
    <fill>
      <patternFill patternType="lightGray"/>
    </fill>
    <fill>
      <patternFill patternType="solid">
        <fgColor rgb="FF66BB6A"/>
        <bgColor rgb="FF66BB6A"/>
      </patternFill>
    </fill>
    <fill>
      <patternFill patternType="solid">
        <fgColor rgb="FFE8F5E9"/>
        <bgColor rgb="FFE8F5E9"/>
      </patternFill>
    </fill>
    <fill>
      <patternFill patternType="solid">
        <fgColor rgb="FF2E7D32"/>
        <bgColor rgb="FF2E7D32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Font="1"/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bottom" wrapText="0"/>
    </xf>
    <xf borderId="1" fillId="3" fontId="6" numFmtId="0" xfId="0" applyAlignment="1" applyBorder="1" applyFill="1" applyFont="1">
      <alignment horizontal="center" shrinkToFit="0" vertical="bottom" wrapText="0"/>
    </xf>
    <xf borderId="2" fillId="2" fontId="7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2" fillId="0" fontId="3" numFmtId="9" xfId="0" applyAlignment="1" applyBorder="1" applyFont="1" applyNumberFormat="1">
      <alignment horizontal="center" shrinkToFit="0" vertical="bottom" wrapText="0"/>
    </xf>
    <xf borderId="2" fillId="0" fontId="3" numFmtId="164" xfId="0" applyAlignment="1" applyBorder="1" applyFont="1" applyNumberFormat="1">
      <alignment horizontal="center" shrinkToFit="0" vertical="bottom" wrapText="0"/>
    </xf>
    <xf borderId="2" fillId="2" fontId="8" numFmtId="0" xfId="0" applyAlignment="1" applyBorder="1" applyFont="1">
      <alignment shrinkToFit="0" vertical="bottom" wrapText="0"/>
    </xf>
    <xf borderId="2" fillId="2" fontId="3" numFmtId="0" xfId="0" applyAlignment="1" applyBorder="1" applyFont="1">
      <alignment shrinkToFit="0" vertical="bottom" wrapText="0"/>
    </xf>
    <xf borderId="2" fillId="2" fontId="3" numFmtId="164" xfId="0" applyAlignment="1" applyBorder="1" applyFont="1" applyNumberForma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2" fillId="4" fontId="7" numFmtId="0" xfId="0" applyAlignment="1" applyBorder="1" applyFill="1" applyFont="1">
      <alignment horizontal="center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2" fillId="4" fontId="11" numFmtId="0" xfId="0" applyAlignment="1" applyBorder="1" applyFont="1">
      <alignment horizontal="center" readingOrder="0" shrinkToFit="0" vertical="bottom" wrapText="0"/>
    </xf>
    <xf borderId="2" fillId="0" fontId="8" numFmtId="0" xfId="0" applyAlignment="1" applyBorder="1" applyFont="1">
      <alignment horizontal="center" readingOrder="0" shrinkToFit="0" vertical="bottom" wrapText="0"/>
    </xf>
    <xf borderId="2" fillId="0" fontId="10" numFmtId="0" xfId="0" applyAlignment="1" applyBorder="1" applyFont="1">
      <alignment horizontal="center" readingOrder="0" shrinkToFit="0" vertical="bottom" wrapText="0"/>
    </xf>
    <xf borderId="2" fillId="0" fontId="8" numFmtId="0" xfId="0" applyAlignment="1" applyBorder="1" applyFont="1">
      <alignment horizontal="center" shrinkToFit="0" vertical="bottom" wrapText="0"/>
    </xf>
    <xf borderId="2" fillId="0" fontId="10" numFmtId="0" xfId="0" applyAlignment="1" applyBorder="1" applyFont="1">
      <alignment horizontal="center" shrinkToFit="0" vertical="bottom" wrapText="0"/>
    </xf>
    <xf borderId="2" fillId="0" fontId="10" numFmtId="165" xfId="0" applyAlignment="1" applyBorder="1" applyFont="1" applyNumberFormat="1">
      <alignment horizontal="center" readingOrder="0" shrinkToFit="0" vertical="bottom" wrapText="0"/>
    </xf>
    <xf borderId="2" fillId="2" fontId="8" numFmtId="0" xfId="0" applyAlignment="1" applyBorder="1" applyFont="1">
      <alignment horizontal="center" readingOrder="0" shrinkToFit="0" vertical="bottom" wrapText="0"/>
    </xf>
    <xf borderId="2" fillId="2" fontId="8" numFmtId="165" xfId="0" applyAlignment="1" applyBorder="1" applyFont="1" applyNumberFormat="1">
      <alignment horizontal="center" readingOrder="0" shrinkToFit="0" vertical="bottom" wrapText="0"/>
    </xf>
    <xf borderId="2" fillId="2" fontId="3" numFmtId="9" xfId="0" applyAlignment="1" applyBorder="1" applyFont="1" applyNumberFormat="1">
      <alignment shrinkToFit="0" vertical="bottom" wrapText="0"/>
    </xf>
    <xf borderId="2" fillId="2" fontId="8" numFmtId="0" xfId="0" applyAlignment="1" applyBorder="1" applyFont="1">
      <alignment horizontal="center" shrinkToFit="0" vertical="bottom" wrapText="0"/>
    </xf>
    <xf borderId="2" fillId="2" fontId="8" numFmtId="164" xfId="0" applyAlignment="1" applyBorder="1" applyFont="1" applyNumberFormat="1">
      <alignment horizontal="center" shrinkToFit="0" vertical="bottom" wrapText="0"/>
    </xf>
    <xf borderId="2" fillId="2" fontId="8" numFmtId="9" xfId="0" applyAlignment="1" applyBorder="1" applyFont="1" applyNumberForma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57"/>
    <col customWidth="1" min="2" max="2" width="13.29"/>
    <col customWidth="1" min="3" max="6" width="14.0"/>
    <col customWidth="1" min="7" max="7" width="18.86"/>
    <col customWidth="1" min="8" max="8" width="14.57"/>
    <col customWidth="1" min="9" max="9" width="18.57"/>
    <col customWidth="1" min="10" max="10" width="18.0"/>
    <col customWidth="1" min="11" max="11" width="17.71"/>
    <col customWidth="1" min="12" max="12" width="14.0"/>
    <col customWidth="1" min="13" max="26" width="8.71"/>
  </cols>
  <sheetData>
    <row r="1">
      <c r="A1" s="1" t="s">
        <v>0</v>
      </c>
      <c r="M1" s="2"/>
      <c r="N1" s="2"/>
      <c r="O1" s="2"/>
    </row>
    <row r="2">
      <c r="A2" s="3" t="s">
        <v>1</v>
      </c>
      <c r="M2" s="2"/>
      <c r="N2" s="2"/>
      <c r="O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>
      <c r="A6" s="5" t="s">
        <v>3</v>
      </c>
      <c r="B6" s="6" t="s">
        <v>4</v>
      </c>
      <c r="C6" s="5" t="s">
        <v>5</v>
      </c>
      <c r="D6" s="6" t="s">
        <v>6</v>
      </c>
      <c r="E6" s="5" t="s">
        <v>7</v>
      </c>
      <c r="F6" s="6" t="s">
        <v>8</v>
      </c>
      <c r="G6" s="5" t="s">
        <v>9</v>
      </c>
      <c r="H6" s="6" t="s">
        <v>10</v>
      </c>
      <c r="I6" s="5" t="s">
        <v>11</v>
      </c>
      <c r="J6" s="6" t="s">
        <v>12</v>
      </c>
      <c r="K6" s="5" t="s">
        <v>13</v>
      </c>
      <c r="L6" s="6" t="s">
        <v>14</v>
      </c>
      <c r="M6" s="2"/>
      <c r="N6" s="2"/>
      <c r="O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4" t="s">
        <v>15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>
      <c r="A11" s="7" t="s">
        <v>16</v>
      </c>
      <c r="B11" s="7" t="s">
        <v>17</v>
      </c>
      <c r="C11" s="7" t="s">
        <v>5</v>
      </c>
      <c r="D11" s="7" t="s">
        <v>18</v>
      </c>
      <c r="E11" s="7" t="s">
        <v>19</v>
      </c>
      <c r="F11" s="7" t="s">
        <v>9</v>
      </c>
      <c r="G11" s="7" t="s">
        <v>20</v>
      </c>
      <c r="H11" s="7" t="s">
        <v>21</v>
      </c>
      <c r="I11" s="7" t="s">
        <v>22</v>
      </c>
      <c r="J11" s="7" t="s">
        <v>23</v>
      </c>
      <c r="K11" s="7" t="s">
        <v>24</v>
      </c>
      <c r="L11" s="7" t="s">
        <v>25</v>
      </c>
      <c r="M11" s="2"/>
      <c r="N11" s="2"/>
      <c r="O11" s="2"/>
    </row>
    <row r="12">
      <c r="A12" s="8" t="s">
        <v>26</v>
      </c>
      <c r="B12" s="8">
        <v>1.0</v>
      </c>
      <c r="C12" s="9"/>
      <c r="D12" s="10">
        <f t="shared" ref="D12:D15" si="1">C12/B12</f>
        <v>0</v>
      </c>
      <c r="E12" s="11">
        <v>15000.0</v>
      </c>
      <c r="F12" s="11">
        <v>0.0</v>
      </c>
      <c r="G12" s="11">
        <v>0.0</v>
      </c>
      <c r="H12" s="8">
        <v>15.0</v>
      </c>
      <c r="I12" s="8">
        <v>0.0</v>
      </c>
      <c r="J12" s="8">
        <v>1.0</v>
      </c>
      <c r="K12" s="8">
        <v>0.0</v>
      </c>
      <c r="L12" s="8" t="s">
        <v>27</v>
      </c>
      <c r="M12" s="2"/>
      <c r="N12" s="2"/>
      <c r="O12" s="2"/>
    </row>
    <row r="13">
      <c r="A13" s="8" t="s">
        <v>28</v>
      </c>
      <c r="B13" s="8">
        <v>3.0</v>
      </c>
      <c r="C13" s="8">
        <v>0.0</v>
      </c>
      <c r="D13" s="10">
        <f t="shared" si="1"/>
        <v>0</v>
      </c>
      <c r="E13" s="11">
        <v>50000.0</v>
      </c>
      <c r="F13" s="11">
        <v>0.0</v>
      </c>
      <c r="G13" s="11">
        <v>0.0</v>
      </c>
      <c r="H13" s="8">
        <v>15.0</v>
      </c>
      <c r="I13" s="8">
        <v>0.0</v>
      </c>
      <c r="J13" s="8">
        <v>3.0</v>
      </c>
      <c r="K13" s="8">
        <v>0.0</v>
      </c>
      <c r="L13" s="8" t="s">
        <v>29</v>
      </c>
      <c r="M13" s="2"/>
      <c r="N13" s="2"/>
      <c r="O13" s="2"/>
    </row>
    <row r="14">
      <c r="A14" s="8" t="s">
        <v>30</v>
      </c>
      <c r="B14" s="8">
        <v>7.0</v>
      </c>
      <c r="C14" s="8">
        <v>0.0</v>
      </c>
      <c r="D14" s="10">
        <f t="shared" si="1"/>
        <v>0</v>
      </c>
      <c r="E14" s="11">
        <v>120000.0</v>
      </c>
      <c r="F14" s="11">
        <v>0.0</v>
      </c>
      <c r="G14" s="11">
        <v>0.0</v>
      </c>
      <c r="H14" s="8">
        <v>10.0</v>
      </c>
      <c r="I14" s="8">
        <v>0.0</v>
      </c>
      <c r="J14" s="8">
        <v>4.0</v>
      </c>
      <c r="K14" s="8">
        <v>0.0</v>
      </c>
      <c r="L14" s="8" t="s">
        <v>29</v>
      </c>
      <c r="M14" s="2"/>
      <c r="N14" s="2"/>
      <c r="O14" s="2"/>
    </row>
    <row r="15">
      <c r="A15" s="8" t="s">
        <v>31</v>
      </c>
      <c r="B15" s="8">
        <v>15.0</v>
      </c>
      <c r="C15" s="8">
        <v>0.0</v>
      </c>
      <c r="D15" s="10">
        <f t="shared" si="1"/>
        <v>0</v>
      </c>
      <c r="E15" s="11">
        <v>225000.0</v>
      </c>
      <c r="F15" s="11">
        <v>0.0</v>
      </c>
      <c r="G15" s="11">
        <v>0.0</v>
      </c>
      <c r="H15" s="8">
        <v>5.0</v>
      </c>
      <c r="I15" s="8">
        <v>0.0</v>
      </c>
      <c r="J15" s="8">
        <v>5.0</v>
      </c>
      <c r="K15" s="8">
        <v>0.0</v>
      </c>
      <c r="L15" s="8" t="s">
        <v>29</v>
      </c>
      <c r="M15" s="2"/>
      <c r="N15" s="2"/>
      <c r="O15" s="2"/>
    </row>
    <row r="16">
      <c r="A16" s="12" t="s">
        <v>32</v>
      </c>
      <c r="B16" s="13">
        <v>15.0</v>
      </c>
      <c r="C16" s="13">
        <f>SUM(C12:C15)</f>
        <v>0</v>
      </c>
      <c r="D16" s="13"/>
      <c r="E16" s="14">
        <v>225000.0</v>
      </c>
      <c r="F16" s="14">
        <f>SUM(F12:F15)</f>
        <v>0</v>
      </c>
      <c r="G16" s="13"/>
      <c r="H16" s="13">
        <f t="shared" ref="H16:K16" si="2">SUM(H12:H15)</f>
        <v>45</v>
      </c>
      <c r="I16" s="13">
        <f t="shared" si="2"/>
        <v>0</v>
      </c>
      <c r="J16" s="13">
        <f t="shared" si="2"/>
        <v>13</v>
      </c>
      <c r="K16" s="13">
        <f t="shared" si="2"/>
        <v>0</v>
      </c>
      <c r="L16" s="13"/>
      <c r="M16" s="2"/>
      <c r="N16" s="2"/>
      <c r="O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2" width="15.29"/>
    <col customWidth="1" min="3" max="3" width="8.71"/>
    <col customWidth="1" min="4" max="4" width="14.14"/>
    <col customWidth="1" min="5" max="5" width="19.14"/>
    <col customWidth="1" min="6" max="6" width="20.0"/>
    <col customWidth="1" min="7" max="7" width="26.71"/>
    <col customWidth="1" min="8" max="14" width="12.0"/>
    <col customWidth="1" min="15" max="26" width="8.71"/>
  </cols>
  <sheetData>
    <row r="1">
      <c r="A1" s="15" t="s">
        <v>33</v>
      </c>
      <c r="I1" s="2"/>
      <c r="J1" s="2"/>
      <c r="K1" s="2"/>
      <c r="L1" s="2"/>
      <c r="M1" s="2"/>
      <c r="N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16" t="s">
        <v>34</v>
      </c>
      <c r="B3" s="16" t="s">
        <v>35</v>
      </c>
      <c r="C3" s="16" t="s">
        <v>36</v>
      </c>
      <c r="D3" s="16" t="s">
        <v>18</v>
      </c>
      <c r="E3" s="16" t="s">
        <v>37</v>
      </c>
      <c r="F3" s="16" t="s">
        <v>38</v>
      </c>
      <c r="G3" s="16" t="s">
        <v>39</v>
      </c>
      <c r="H3" s="2"/>
      <c r="I3" s="2"/>
      <c r="J3" s="2"/>
      <c r="K3" s="2"/>
      <c r="L3" s="2"/>
      <c r="M3" s="2"/>
      <c r="N3" s="2"/>
    </row>
    <row r="4">
      <c r="A4" s="8" t="s">
        <v>40</v>
      </c>
      <c r="B4" s="8">
        <v>120.0</v>
      </c>
      <c r="C4" s="8">
        <v>0.0</v>
      </c>
      <c r="D4" s="10">
        <f t="shared" ref="D4:D7" si="1">C4/B4</f>
        <v>0</v>
      </c>
      <c r="E4" s="8" t="s">
        <v>41</v>
      </c>
      <c r="F4" s="10" t="s">
        <v>41</v>
      </c>
      <c r="G4" s="8" t="s">
        <v>42</v>
      </c>
      <c r="H4" s="2"/>
      <c r="I4" s="2"/>
      <c r="J4" s="2"/>
      <c r="K4" s="2"/>
      <c r="L4" s="2"/>
      <c r="M4" s="2"/>
      <c r="N4" s="2"/>
    </row>
    <row r="5">
      <c r="A5" s="8" t="s">
        <v>22</v>
      </c>
      <c r="B5" s="8">
        <v>45.0</v>
      </c>
      <c r="C5" s="8">
        <v>0.0</v>
      </c>
      <c r="D5" s="10">
        <f t="shared" si="1"/>
        <v>0</v>
      </c>
      <c r="E5" s="8" t="s">
        <v>43</v>
      </c>
      <c r="F5" s="10">
        <f t="shared" ref="F5:F7" si="2">IF(C4&gt;0,C5/C4,0)</f>
        <v>0</v>
      </c>
      <c r="G5" s="8" t="s">
        <v>44</v>
      </c>
      <c r="H5" s="2"/>
      <c r="I5" s="2"/>
      <c r="J5" s="2"/>
      <c r="K5" s="2"/>
      <c r="L5" s="2"/>
      <c r="M5" s="2"/>
      <c r="N5" s="2"/>
    </row>
    <row r="6">
      <c r="A6" s="8" t="s">
        <v>45</v>
      </c>
      <c r="B6" s="8">
        <v>30.0</v>
      </c>
      <c r="C6" s="8">
        <v>0.0</v>
      </c>
      <c r="D6" s="10">
        <f t="shared" si="1"/>
        <v>0</v>
      </c>
      <c r="E6" s="8" t="s">
        <v>46</v>
      </c>
      <c r="F6" s="10">
        <f t="shared" si="2"/>
        <v>0</v>
      </c>
      <c r="G6" s="8" t="s">
        <v>47</v>
      </c>
      <c r="H6" s="2"/>
      <c r="I6" s="2"/>
      <c r="J6" s="2"/>
      <c r="K6" s="2"/>
      <c r="L6" s="2"/>
      <c r="M6" s="2"/>
      <c r="N6" s="2"/>
    </row>
    <row r="7">
      <c r="A7" s="8" t="s">
        <v>24</v>
      </c>
      <c r="B7" s="8">
        <v>15.0</v>
      </c>
      <c r="C7" s="8">
        <v>0.0</v>
      </c>
      <c r="D7" s="10">
        <f t="shared" si="1"/>
        <v>0</v>
      </c>
      <c r="E7" s="8" t="s">
        <v>12</v>
      </c>
      <c r="F7" s="10">
        <f t="shared" si="2"/>
        <v>0</v>
      </c>
      <c r="G7" s="8" t="s">
        <v>48</v>
      </c>
      <c r="H7" s="2"/>
      <c r="I7" s="2"/>
      <c r="J7" s="2"/>
      <c r="K7" s="2"/>
      <c r="L7" s="2"/>
      <c r="M7" s="2"/>
      <c r="N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>
      <c r="A10" s="4" t="s">
        <v>49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16" t="s">
        <v>50</v>
      </c>
      <c r="B12" s="16" t="s">
        <v>51</v>
      </c>
      <c r="C12" s="16" t="s">
        <v>52</v>
      </c>
      <c r="D12" s="16" t="s">
        <v>53</v>
      </c>
      <c r="E12" s="16" t="s">
        <v>54</v>
      </c>
      <c r="F12" s="16" t="s">
        <v>55</v>
      </c>
      <c r="G12" s="16" t="s">
        <v>56</v>
      </c>
      <c r="H12" s="16" t="s">
        <v>57</v>
      </c>
      <c r="I12" s="16" t="s">
        <v>58</v>
      </c>
      <c r="J12" s="16" t="s">
        <v>59</v>
      </c>
      <c r="K12" s="16" t="s">
        <v>60</v>
      </c>
      <c r="L12" s="16" t="s">
        <v>61</v>
      </c>
      <c r="M12" s="16" t="s">
        <v>62</v>
      </c>
      <c r="N12" s="16" t="s">
        <v>63</v>
      </c>
    </row>
    <row r="13">
      <c r="A13" s="8" t="s">
        <v>64</v>
      </c>
      <c r="B13" s="8">
        <v>10.0</v>
      </c>
      <c r="C13" s="8">
        <v>10.0</v>
      </c>
      <c r="D13" s="8">
        <v>10.0</v>
      </c>
      <c r="E13" s="8">
        <v>10.0</v>
      </c>
      <c r="F13" s="8">
        <v>10.0</v>
      </c>
      <c r="G13" s="8">
        <v>10.0</v>
      </c>
      <c r="H13" s="8">
        <v>10.0</v>
      </c>
      <c r="I13" s="8">
        <v>10.0</v>
      </c>
      <c r="J13" s="8">
        <v>10.0</v>
      </c>
      <c r="K13" s="8">
        <v>10.0</v>
      </c>
      <c r="L13" s="8">
        <v>10.0</v>
      </c>
      <c r="M13" s="8">
        <v>10.0</v>
      </c>
      <c r="N13" s="8">
        <f t="shared" ref="N13:N17" si="3">SUM(B13:M13)</f>
        <v>120</v>
      </c>
    </row>
    <row r="14">
      <c r="A14" s="8" t="s">
        <v>65</v>
      </c>
      <c r="B14" s="8">
        <v>3.0</v>
      </c>
      <c r="C14" s="8">
        <v>4.0</v>
      </c>
      <c r="D14" s="8">
        <v>4.0</v>
      </c>
      <c r="E14" s="8">
        <v>4.0</v>
      </c>
      <c r="F14" s="8">
        <v>4.0</v>
      </c>
      <c r="G14" s="8">
        <v>4.0</v>
      </c>
      <c r="H14" s="8">
        <v>4.0</v>
      </c>
      <c r="I14" s="8">
        <v>4.0</v>
      </c>
      <c r="J14" s="8">
        <v>4.0</v>
      </c>
      <c r="K14" s="8">
        <v>4.0</v>
      </c>
      <c r="L14" s="8">
        <v>3.0</v>
      </c>
      <c r="M14" s="8">
        <v>3.0</v>
      </c>
      <c r="N14" s="8">
        <f t="shared" si="3"/>
        <v>45</v>
      </c>
    </row>
    <row r="15">
      <c r="A15" s="8" t="s">
        <v>66</v>
      </c>
      <c r="B15" s="8">
        <v>2.0</v>
      </c>
      <c r="C15" s="8">
        <v>2.0</v>
      </c>
      <c r="D15" s="8">
        <v>3.0</v>
      </c>
      <c r="E15" s="8">
        <v>3.0</v>
      </c>
      <c r="F15" s="8">
        <v>3.0</v>
      </c>
      <c r="G15" s="8">
        <v>3.0</v>
      </c>
      <c r="H15" s="8">
        <v>3.0</v>
      </c>
      <c r="I15" s="8">
        <v>2.0</v>
      </c>
      <c r="J15" s="8">
        <v>3.0</v>
      </c>
      <c r="K15" s="8">
        <v>2.0</v>
      </c>
      <c r="L15" s="8">
        <v>2.0</v>
      </c>
      <c r="M15" s="8">
        <v>2.0</v>
      </c>
      <c r="N15" s="8">
        <f t="shared" si="3"/>
        <v>30</v>
      </c>
    </row>
    <row r="16">
      <c r="A16" s="8" t="s">
        <v>67</v>
      </c>
      <c r="B16" s="8">
        <v>0.0</v>
      </c>
      <c r="C16" s="8">
        <v>0.0</v>
      </c>
      <c r="D16" s="8">
        <v>1.0</v>
      </c>
      <c r="E16" s="8">
        <v>1.0</v>
      </c>
      <c r="F16" s="8">
        <v>1.0</v>
      </c>
      <c r="G16" s="8">
        <v>1.0</v>
      </c>
      <c r="H16" s="8">
        <v>1.0</v>
      </c>
      <c r="I16" s="8">
        <v>1.0</v>
      </c>
      <c r="J16" s="8">
        <v>2.0</v>
      </c>
      <c r="K16" s="8">
        <v>2.0</v>
      </c>
      <c r="L16" s="8">
        <v>2.0</v>
      </c>
      <c r="M16" s="8">
        <v>2.0</v>
      </c>
      <c r="N16" s="8">
        <f t="shared" si="3"/>
        <v>14</v>
      </c>
    </row>
    <row r="17">
      <c r="A17" s="8" t="s">
        <v>68</v>
      </c>
      <c r="B17" s="11">
        <v>0.0</v>
      </c>
      <c r="C17" s="11">
        <v>0.0</v>
      </c>
      <c r="D17" s="11">
        <v>15000.0</v>
      </c>
      <c r="E17" s="11">
        <v>15000.0</v>
      </c>
      <c r="F17" s="11">
        <v>15000.0</v>
      </c>
      <c r="G17" s="11">
        <v>15000.0</v>
      </c>
      <c r="H17" s="11">
        <v>15000.0</v>
      </c>
      <c r="I17" s="11">
        <v>15000.0</v>
      </c>
      <c r="J17" s="11">
        <v>25000.0</v>
      </c>
      <c r="K17" s="11">
        <v>25000.0</v>
      </c>
      <c r="L17" s="11">
        <v>25000.0</v>
      </c>
      <c r="M17" s="11">
        <v>25000.0</v>
      </c>
      <c r="N17" s="11">
        <f t="shared" si="3"/>
        <v>190000</v>
      </c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2" width="15.29"/>
    <col customWidth="1" min="3" max="3" width="8.71"/>
    <col customWidth="1" min="4" max="4" width="14.14"/>
    <col customWidth="1" min="5" max="5" width="19.14"/>
    <col customWidth="1" min="6" max="6" width="20.0"/>
    <col customWidth="1" min="7" max="7" width="26.71"/>
    <col customWidth="1" min="8" max="14" width="12.0"/>
    <col customWidth="1" min="15" max="26" width="8.71"/>
  </cols>
  <sheetData>
    <row r="1" ht="15.75" customHeight="1">
      <c r="A1" s="17" t="s">
        <v>69</v>
      </c>
    </row>
    <row r="2" ht="15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ht="15.75" customHeight="1">
      <c r="A3" s="19" t="s">
        <v>70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ht="15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ht="15.75" customHeight="1">
      <c r="A5" s="20" t="s">
        <v>71</v>
      </c>
      <c r="B5" s="20" t="s">
        <v>51</v>
      </c>
      <c r="C5" s="20" t="s">
        <v>52</v>
      </c>
      <c r="D5" s="20" t="s">
        <v>53</v>
      </c>
      <c r="E5" s="20" t="s">
        <v>54</v>
      </c>
      <c r="F5" s="20" t="s">
        <v>55</v>
      </c>
      <c r="G5" s="20" t="s">
        <v>56</v>
      </c>
      <c r="H5" s="20" t="s">
        <v>57</v>
      </c>
      <c r="I5" s="20" t="s">
        <v>58</v>
      </c>
      <c r="J5" s="20" t="s">
        <v>59</v>
      </c>
      <c r="K5" s="20" t="s">
        <v>60</v>
      </c>
      <c r="L5" s="20" t="s">
        <v>61</v>
      </c>
      <c r="M5" s="20" t="s">
        <v>62</v>
      </c>
      <c r="N5" s="20" t="s">
        <v>72</v>
      </c>
      <c r="O5" s="20" t="s">
        <v>73</v>
      </c>
      <c r="P5" s="20" t="s">
        <v>74</v>
      </c>
    </row>
    <row r="6" ht="15.75" customHeight="1">
      <c r="A6" s="21" t="s">
        <v>23</v>
      </c>
      <c r="B6" s="22" t="s">
        <v>41</v>
      </c>
      <c r="C6" s="22">
        <v>0.0</v>
      </c>
      <c r="D6" s="22">
        <v>1.0</v>
      </c>
      <c r="E6" s="22">
        <v>1.0</v>
      </c>
      <c r="F6" s="22">
        <v>1.0</v>
      </c>
      <c r="G6" s="22">
        <v>1.0</v>
      </c>
      <c r="H6" s="22">
        <v>1.0</v>
      </c>
      <c r="I6" s="22">
        <v>1.0</v>
      </c>
      <c r="J6" s="22">
        <v>2.0</v>
      </c>
      <c r="K6" s="22">
        <v>2.0</v>
      </c>
      <c r="L6" s="22">
        <v>2.0</v>
      </c>
      <c r="M6" s="22">
        <v>3.0</v>
      </c>
      <c r="N6" s="22">
        <v>15.0</v>
      </c>
      <c r="O6" s="22">
        <v>15.0</v>
      </c>
      <c r="P6" s="22">
        <v>0.0</v>
      </c>
    </row>
    <row r="7" ht="15.75" customHeight="1">
      <c r="A7" s="21" t="s">
        <v>75</v>
      </c>
      <c r="B7" s="22" t="s">
        <v>41</v>
      </c>
      <c r="C7" s="22">
        <v>0.0</v>
      </c>
      <c r="D7" s="22">
        <v>0.0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2">
        <v>0.0</v>
      </c>
      <c r="L7" s="22">
        <v>0.0</v>
      </c>
      <c r="M7" s="22">
        <v>0.0</v>
      </c>
      <c r="N7" s="22">
        <v>0.0</v>
      </c>
      <c r="O7" s="22">
        <v>15.0</v>
      </c>
      <c r="P7" s="22">
        <v>-15.0</v>
      </c>
    </row>
    <row r="8" ht="15.75" customHeight="1">
      <c r="A8" s="23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ht="15.75" customHeight="1">
      <c r="A9" s="21" t="s">
        <v>76</v>
      </c>
      <c r="B9" s="25" t="s">
        <v>41</v>
      </c>
      <c r="C9" s="25">
        <v>0.0</v>
      </c>
      <c r="D9" s="25">
        <v>15000.0</v>
      </c>
      <c r="E9" s="25">
        <v>15000.0</v>
      </c>
      <c r="F9" s="25">
        <v>15000.0</v>
      </c>
      <c r="G9" s="25">
        <v>15000.0</v>
      </c>
      <c r="H9" s="25">
        <v>15000.0</v>
      </c>
      <c r="I9" s="25">
        <v>15000.0</v>
      </c>
      <c r="J9" s="25">
        <v>30000.0</v>
      </c>
      <c r="K9" s="25">
        <v>30000.0</v>
      </c>
      <c r="L9" s="25">
        <v>30000.0</v>
      </c>
      <c r="M9" s="25">
        <v>45000.0</v>
      </c>
      <c r="N9" s="25">
        <v>225000.0</v>
      </c>
      <c r="O9" s="25">
        <v>225000.0</v>
      </c>
      <c r="P9" s="25">
        <v>0.0</v>
      </c>
    </row>
    <row r="10" ht="15.75" customHeight="1">
      <c r="A10" s="21" t="s">
        <v>77</v>
      </c>
      <c r="B10" s="25" t="s">
        <v>41</v>
      </c>
      <c r="C10" s="25">
        <v>0.0</v>
      </c>
      <c r="D10" s="25">
        <v>0.0</v>
      </c>
      <c r="E10" s="25">
        <v>0.0</v>
      </c>
      <c r="F10" s="25">
        <v>0.0</v>
      </c>
      <c r="G10" s="25">
        <v>0.0</v>
      </c>
      <c r="H10" s="25">
        <v>0.0</v>
      </c>
      <c r="I10" s="25">
        <v>0.0</v>
      </c>
      <c r="J10" s="25">
        <v>0.0</v>
      </c>
      <c r="K10" s="25">
        <v>0.0</v>
      </c>
      <c r="L10" s="25">
        <v>0.0</v>
      </c>
      <c r="M10" s="25">
        <v>0.0</v>
      </c>
      <c r="N10" s="25">
        <v>0.0</v>
      </c>
      <c r="O10" s="25">
        <v>225000.0</v>
      </c>
      <c r="P10" s="25">
        <v>-225000.0</v>
      </c>
    </row>
    <row r="11" ht="15.75" customHeight="1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ht="15.75" customHeight="1">
      <c r="A12" s="21" t="s">
        <v>78</v>
      </c>
      <c r="B12" s="25" t="s">
        <v>41</v>
      </c>
      <c r="C12" s="25">
        <v>0.0</v>
      </c>
      <c r="D12" s="25">
        <v>15000.0</v>
      </c>
      <c r="E12" s="25">
        <v>15000.0</v>
      </c>
      <c r="F12" s="25">
        <v>15000.0</v>
      </c>
      <c r="G12" s="25">
        <v>15000.0</v>
      </c>
      <c r="H12" s="25">
        <v>15000.0</v>
      </c>
      <c r="I12" s="25">
        <v>15000.0</v>
      </c>
      <c r="J12" s="25">
        <v>30000.0</v>
      </c>
      <c r="K12" s="25">
        <v>30000.0</v>
      </c>
      <c r="L12" s="25">
        <v>30000.0</v>
      </c>
      <c r="M12" s="25">
        <v>45000.0</v>
      </c>
      <c r="N12" s="24"/>
      <c r="O12" s="24"/>
      <c r="P12" s="24"/>
    </row>
    <row r="13" ht="15.75" customHeight="1">
      <c r="A13" s="21" t="s">
        <v>79</v>
      </c>
      <c r="B13" s="25" t="s">
        <v>41</v>
      </c>
      <c r="C13" s="25">
        <v>0.0</v>
      </c>
      <c r="D13" s="25">
        <v>0.0</v>
      </c>
      <c r="E13" s="25">
        <v>15000.0</v>
      </c>
      <c r="F13" s="25">
        <v>15000.0</v>
      </c>
      <c r="G13" s="25">
        <v>15000.0</v>
      </c>
      <c r="H13" s="25">
        <v>15000.0</v>
      </c>
      <c r="I13" s="25">
        <v>15000.0</v>
      </c>
      <c r="J13" s="25">
        <v>15000.0</v>
      </c>
      <c r="K13" s="25">
        <v>30000.0</v>
      </c>
      <c r="L13" s="25">
        <v>30000.0</v>
      </c>
      <c r="M13" s="25">
        <v>30000.0</v>
      </c>
      <c r="N13" s="24"/>
      <c r="O13" s="24"/>
      <c r="P13" s="24"/>
    </row>
    <row r="14" ht="15.7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ht="15.75" customHeight="1">
      <c r="A15" s="19" t="s">
        <v>80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 ht="15.75" customHeight="1">
      <c r="A17" s="20" t="s">
        <v>71</v>
      </c>
      <c r="B17" s="20" t="s">
        <v>51</v>
      </c>
      <c r="C17" s="20" t="s">
        <v>52</v>
      </c>
      <c r="D17" s="20" t="s">
        <v>53</v>
      </c>
      <c r="E17" s="20" t="s">
        <v>54</v>
      </c>
      <c r="F17" s="20" t="s">
        <v>55</v>
      </c>
      <c r="G17" s="20" t="s">
        <v>56</v>
      </c>
      <c r="H17" s="20" t="s">
        <v>57</v>
      </c>
      <c r="I17" s="20" t="s">
        <v>58</v>
      </c>
      <c r="J17" s="20" t="s">
        <v>59</v>
      </c>
      <c r="K17" s="20" t="s">
        <v>60</v>
      </c>
      <c r="L17" s="20" t="s">
        <v>61</v>
      </c>
      <c r="M17" s="20" t="s">
        <v>62</v>
      </c>
      <c r="N17" s="20" t="s">
        <v>72</v>
      </c>
      <c r="O17" s="20" t="s">
        <v>73</v>
      </c>
      <c r="P17" s="20" t="s">
        <v>74</v>
      </c>
    </row>
    <row r="18" ht="15.75" customHeight="1">
      <c r="A18" s="21" t="s">
        <v>81</v>
      </c>
      <c r="B18" s="22" t="s">
        <v>41</v>
      </c>
      <c r="C18" s="22">
        <v>0.0</v>
      </c>
      <c r="D18" s="22">
        <v>1.0</v>
      </c>
      <c r="E18" s="22">
        <v>1.0</v>
      </c>
      <c r="F18" s="22">
        <v>1.0</v>
      </c>
      <c r="G18" s="22">
        <v>1.0</v>
      </c>
      <c r="H18" s="22">
        <v>1.0</v>
      </c>
      <c r="I18" s="22">
        <v>1.0</v>
      </c>
      <c r="J18" s="22">
        <v>2.0</v>
      </c>
      <c r="K18" s="22">
        <v>2.0</v>
      </c>
      <c r="L18" s="22">
        <v>2.0</v>
      </c>
      <c r="M18" s="22">
        <v>3.0</v>
      </c>
      <c r="N18" s="22">
        <v>15.0</v>
      </c>
      <c r="O18" s="22">
        <v>15.0</v>
      </c>
      <c r="P18" s="22">
        <v>0.0</v>
      </c>
    </row>
    <row r="19" ht="15.75" customHeight="1">
      <c r="A19" s="21" t="s">
        <v>82</v>
      </c>
      <c r="B19" s="22" t="s">
        <v>41</v>
      </c>
      <c r="C19" s="22">
        <v>0.0</v>
      </c>
      <c r="D19" s="22">
        <v>0.0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2">
        <v>0.0</v>
      </c>
      <c r="L19" s="22">
        <v>0.0</v>
      </c>
      <c r="M19" s="22">
        <v>0.0</v>
      </c>
      <c r="N19" s="22">
        <v>0.0</v>
      </c>
      <c r="O19" s="22">
        <v>15.0</v>
      </c>
      <c r="P19" s="22">
        <v>-15.0</v>
      </c>
    </row>
    <row r="20" ht="15.75" customHeight="1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ht="15.75" customHeight="1">
      <c r="A21" s="21" t="s">
        <v>83</v>
      </c>
      <c r="B21" s="22" t="s">
        <v>41</v>
      </c>
      <c r="C21" s="22">
        <v>0.0</v>
      </c>
      <c r="D21" s="22">
        <v>1.0</v>
      </c>
      <c r="E21" s="22">
        <v>2.0</v>
      </c>
      <c r="F21" s="22">
        <v>3.0</v>
      </c>
      <c r="G21" s="22">
        <v>4.0</v>
      </c>
      <c r="H21" s="22">
        <v>5.0</v>
      </c>
      <c r="I21" s="22">
        <v>6.0</v>
      </c>
      <c r="J21" s="22">
        <v>8.0</v>
      </c>
      <c r="K21" s="22">
        <v>10.0</v>
      </c>
      <c r="L21" s="22">
        <v>12.0</v>
      </c>
      <c r="M21" s="22">
        <v>15.0</v>
      </c>
      <c r="N21" s="24"/>
      <c r="O21" s="22">
        <v>15.0</v>
      </c>
      <c r="P21" s="22">
        <v>0.0</v>
      </c>
    </row>
    <row r="22" ht="15.75" customHeight="1">
      <c r="A22" s="21" t="s">
        <v>84</v>
      </c>
      <c r="B22" s="22" t="s">
        <v>41</v>
      </c>
      <c r="C22" s="22">
        <v>0.0</v>
      </c>
      <c r="D22" s="22">
        <v>0.0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2">
        <v>0.0</v>
      </c>
      <c r="L22" s="22">
        <v>0.0</v>
      </c>
      <c r="M22" s="22">
        <v>0.0</v>
      </c>
      <c r="N22" s="24"/>
      <c r="O22" s="22">
        <v>15.0</v>
      </c>
      <c r="P22" s="22">
        <v>-15.0</v>
      </c>
    </row>
    <row r="23" ht="15.75" customHeight="1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ht="15.75" customHeight="1">
      <c r="A24" s="21" t="s">
        <v>85</v>
      </c>
      <c r="B24" s="22" t="s">
        <v>41</v>
      </c>
      <c r="C24" s="22">
        <v>0.0</v>
      </c>
      <c r="D24" s="22">
        <v>1.0</v>
      </c>
      <c r="E24" s="22">
        <v>0.0</v>
      </c>
      <c r="F24" s="22">
        <v>1.0</v>
      </c>
      <c r="G24" s="22">
        <v>0.0</v>
      </c>
      <c r="H24" s="22">
        <v>1.0</v>
      </c>
      <c r="I24" s="22">
        <v>0.0</v>
      </c>
      <c r="J24" s="22">
        <v>1.0</v>
      </c>
      <c r="K24" s="22">
        <v>1.0</v>
      </c>
      <c r="L24" s="22">
        <v>0.0</v>
      </c>
      <c r="M24" s="22">
        <v>1.0</v>
      </c>
      <c r="N24" s="22">
        <v>6.0</v>
      </c>
      <c r="O24" s="22">
        <v>6.0</v>
      </c>
      <c r="P24" s="22">
        <v>0.0</v>
      </c>
    </row>
    <row r="25" ht="15.75" customHeight="1">
      <c r="A25" s="21" t="s">
        <v>86</v>
      </c>
      <c r="B25" s="22" t="s">
        <v>41</v>
      </c>
      <c r="C25" s="22">
        <v>0.0</v>
      </c>
      <c r="D25" s="22">
        <v>0.0</v>
      </c>
      <c r="E25" s="22">
        <v>0.0</v>
      </c>
      <c r="F25" s="22">
        <v>0.0</v>
      </c>
      <c r="G25" s="22">
        <v>0.0</v>
      </c>
      <c r="H25" s="22">
        <v>0.0</v>
      </c>
      <c r="I25" s="22">
        <v>0.0</v>
      </c>
      <c r="J25" s="22">
        <v>0.0</v>
      </c>
      <c r="K25" s="22">
        <v>0.0</v>
      </c>
      <c r="L25" s="22">
        <v>0.0</v>
      </c>
      <c r="M25" s="22">
        <v>0.0</v>
      </c>
      <c r="N25" s="22">
        <v>0.0</v>
      </c>
      <c r="O25" s="22">
        <v>6.0</v>
      </c>
      <c r="P25" s="22">
        <v>-6.0</v>
      </c>
    </row>
    <row r="26" ht="15.75" customHeight="1">
      <c r="A26" s="21" t="s">
        <v>87</v>
      </c>
      <c r="B26" s="22" t="s">
        <v>41</v>
      </c>
      <c r="C26" s="22">
        <v>0.0</v>
      </c>
      <c r="D26" s="22">
        <v>0.0</v>
      </c>
      <c r="E26" s="22">
        <v>1.0</v>
      </c>
      <c r="F26" s="22">
        <v>0.0</v>
      </c>
      <c r="G26" s="22">
        <v>1.0</v>
      </c>
      <c r="H26" s="22">
        <v>0.0</v>
      </c>
      <c r="I26" s="22">
        <v>1.0</v>
      </c>
      <c r="J26" s="22">
        <v>1.0</v>
      </c>
      <c r="K26" s="22">
        <v>1.0</v>
      </c>
      <c r="L26" s="22">
        <v>1.0</v>
      </c>
      <c r="M26" s="22">
        <v>0.0</v>
      </c>
      <c r="N26" s="22">
        <v>6.0</v>
      </c>
      <c r="O26" s="22">
        <v>6.0</v>
      </c>
      <c r="P26" s="22">
        <v>0.0</v>
      </c>
    </row>
    <row r="27" ht="15.75" customHeight="1">
      <c r="A27" s="21" t="s">
        <v>88</v>
      </c>
      <c r="B27" s="22" t="s">
        <v>41</v>
      </c>
      <c r="C27" s="22">
        <v>0.0</v>
      </c>
      <c r="D27" s="22">
        <v>0.0</v>
      </c>
      <c r="E27" s="22">
        <v>0.0</v>
      </c>
      <c r="F27" s="22">
        <v>0.0</v>
      </c>
      <c r="G27" s="22">
        <v>0.0</v>
      </c>
      <c r="H27" s="22">
        <v>0.0</v>
      </c>
      <c r="I27" s="22">
        <v>0.0</v>
      </c>
      <c r="J27" s="22">
        <v>0.0</v>
      </c>
      <c r="K27" s="22">
        <v>0.0</v>
      </c>
      <c r="L27" s="22">
        <v>0.0</v>
      </c>
      <c r="M27" s="22">
        <v>0.0</v>
      </c>
      <c r="N27" s="22">
        <v>0.0</v>
      </c>
      <c r="O27" s="22">
        <v>6.0</v>
      </c>
      <c r="P27" s="22">
        <v>-6.0</v>
      </c>
    </row>
    <row r="28" ht="15.75" customHeight="1">
      <c r="A28" s="21" t="s">
        <v>89</v>
      </c>
      <c r="B28" s="22" t="s">
        <v>41</v>
      </c>
      <c r="C28" s="22">
        <v>0.0</v>
      </c>
      <c r="D28" s="22">
        <v>0.0</v>
      </c>
      <c r="E28" s="22">
        <v>0.0</v>
      </c>
      <c r="F28" s="22">
        <v>0.0</v>
      </c>
      <c r="G28" s="22">
        <v>0.0</v>
      </c>
      <c r="H28" s="22">
        <v>0.0</v>
      </c>
      <c r="I28" s="22">
        <v>0.0</v>
      </c>
      <c r="J28" s="22">
        <v>0.0</v>
      </c>
      <c r="K28" s="22">
        <v>0.0</v>
      </c>
      <c r="L28" s="22">
        <v>1.0</v>
      </c>
      <c r="M28" s="22">
        <v>2.0</v>
      </c>
      <c r="N28" s="22">
        <v>3.0</v>
      </c>
      <c r="O28" s="22">
        <v>3.0</v>
      </c>
      <c r="P28" s="22">
        <v>0.0</v>
      </c>
    </row>
    <row r="29" ht="15.75" customHeight="1">
      <c r="A29" s="21" t="s">
        <v>90</v>
      </c>
      <c r="B29" s="22" t="s">
        <v>41</v>
      </c>
      <c r="C29" s="22">
        <v>0.0</v>
      </c>
      <c r="D29" s="22">
        <v>0.0</v>
      </c>
      <c r="E29" s="22">
        <v>0.0</v>
      </c>
      <c r="F29" s="22">
        <v>0.0</v>
      </c>
      <c r="G29" s="22">
        <v>0.0</v>
      </c>
      <c r="H29" s="22">
        <v>0.0</v>
      </c>
      <c r="I29" s="22">
        <v>0.0</v>
      </c>
      <c r="J29" s="22">
        <v>0.0</v>
      </c>
      <c r="K29" s="22">
        <v>0.0</v>
      </c>
      <c r="L29" s="22">
        <v>0.0</v>
      </c>
      <c r="M29" s="22">
        <v>0.0</v>
      </c>
      <c r="N29" s="22">
        <v>0.0</v>
      </c>
      <c r="O29" s="22">
        <v>3.0</v>
      </c>
      <c r="P29" s="22">
        <v>-3.0</v>
      </c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ht="15.75" customHeight="1">
      <c r="A32" s="19" t="s">
        <v>91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ht="15.75" customHeight="1">
      <c r="A34" s="20" t="s">
        <v>71</v>
      </c>
      <c r="B34" s="20" t="s">
        <v>51</v>
      </c>
      <c r="C34" s="20" t="s">
        <v>52</v>
      </c>
      <c r="D34" s="20" t="s">
        <v>53</v>
      </c>
      <c r="E34" s="20" t="s">
        <v>54</v>
      </c>
      <c r="F34" s="20" t="s">
        <v>55</v>
      </c>
      <c r="G34" s="20" t="s">
        <v>56</v>
      </c>
      <c r="H34" s="20" t="s">
        <v>57</v>
      </c>
      <c r="I34" s="20" t="s">
        <v>58</v>
      </c>
      <c r="J34" s="20" t="s">
        <v>59</v>
      </c>
      <c r="K34" s="20" t="s">
        <v>60</v>
      </c>
      <c r="L34" s="20" t="s">
        <v>61</v>
      </c>
      <c r="M34" s="20" t="s">
        <v>62</v>
      </c>
      <c r="N34" s="20" t="s">
        <v>72</v>
      </c>
      <c r="O34" s="20" t="s">
        <v>73</v>
      </c>
      <c r="P34" s="20" t="s">
        <v>74</v>
      </c>
    </row>
    <row r="35" ht="15.75" customHeight="1">
      <c r="A35" s="21" t="s">
        <v>92</v>
      </c>
      <c r="B35" s="22" t="s">
        <v>41</v>
      </c>
      <c r="C35" s="22">
        <v>10.0</v>
      </c>
      <c r="D35" s="22">
        <v>10.0</v>
      </c>
      <c r="E35" s="22">
        <v>10.0</v>
      </c>
      <c r="F35" s="22">
        <v>10.0</v>
      </c>
      <c r="G35" s="22">
        <v>10.0</v>
      </c>
      <c r="H35" s="22">
        <v>10.0</v>
      </c>
      <c r="I35" s="22">
        <v>10.0</v>
      </c>
      <c r="J35" s="22">
        <v>10.0</v>
      </c>
      <c r="K35" s="22">
        <v>10.0</v>
      </c>
      <c r="L35" s="22">
        <v>10.0</v>
      </c>
      <c r="M35" s="22">
        <v>10.0</v>
      </c>
      <c r="N35" s="22">
        <v>120.0</v>
      </c>
      <c r="O35" s="22">
        <v>120.0</v>
      </c>
      <c r="P35" s="22">
        <v>0.0</v>
      </c>
    </row>
    <row r="36" ht="15.75" customHeight="1">
      <c r="A36" s="21" t="s">
        <v>93</v>
      </c>
      <c r="B36" s="22" t="s">
        <v>41</v>
      </c>
      <c r="C36" s="22">
        <v>0.0</v>
      </c>
      <c r="D36" s="22">
        <v>0.0</v>
      </c>
      <c r="E36" s="22">
        <v>0.0</v>
      </c>
      <c r="F36" s="22">
        <v>0.0</v>
      </c>
      <c r="G36" s="22">
        <v>0.0</v>
      </c>
      <c r="H36" s="22">
        <v>0.0</v>
      </c>
      <c r="I36" s="22">
        <v>0.0</v>
      </c>
      <c r="J36" s="22">
        <v>0.0</v>
      </c>
      <c r="K36" s="22">
        <v>0.0</v>
      </c>
      <c r="L36" s="22">
        <v>0.0</v>
      </c>
      <c r="M36" s="22">
        <v>0.0</v>
      </c>
      <c r="N36" s="22">
        <v>0.0</v>
      </c>
      <c r="O36" s="22">
        <v>120.0</v>
      </c>
      <c r="P36" s="22">
        <v>-120.0</v>
      </c>
    </row>
    <row r="37" ht="15.75" customHeight="1">
      <c r="A37" s="23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</row>
    <row r="38" ht="15.75" customHeight="1">
      <c r="A38" s="21" t="s">
        <v>21</v>
      </c>
      <c r="B38" s="22" t="s">
        <v>41</v>
      </c>
      <c r="C38" s="22">
        <v>4.0</v>
      </c>
      <c r="D38" s="22">
        <v>4.0</v>
      </c>
      <c r="E38" s="22">
        <v>4.0</v>
      </c>
      <c r="F38" s="22">
        <v>4.0</v>
      </c>
      <c r="G38" s="22">
        <v>4.0</v>
      </c>
      <c r="H38" s="22">
        <v>4.0</v>
      </c>
      <c r="I38" s="22">
        <v>3.0</v>
      </c>
      <c r="J38" s="22">
        <v>4.0</v>
      </c>
      <c r="K38" s="22">
        <v>4.0</v>
      </c>
      <c r="L38" s="22">
        <v>3.0</v>
      </c>
      <c r="M38" s="22">
        <v>3.0</v>
      </c>
      <c r="N38" s="22">
        <v>45.0</v>
      </c>
      <c r="O38" s="22">
        <v>45.0</v>
      </c>
      <c r="P38" s="22">
        <v>0.0</v>
      </c>
    </row>
    <row r="39" ht="15.75" customHeight="1">
      <c r="A39" s="21" t="s">
        <v>94</v>
      </c>
      <c r="B39" s="22" t="s">
        <v>41</v>
      </c>
      <c r="C39" s="22">
        <v>0.0</v>
      </c>
      <c r="D39" s="22">
        <v>0.0</v>
      </c>
      <c r="E39" s="22">
        <v>0.0</v>
      </c>
      <c r="F39" s="22">
        <v>0.0</v>
      </c>
      <c r="G39" s="22">
        <v>0.0</v>
      </c>
      <c r="H39" s="22">
        <v>0.0</v>
      </c>
      <c r="I39" s="22">
        <v>0.0</v>
      </c>
      <c r="J39" s="22">
        <v>0.0</v>
      </c>
      <c r="K39" s="22">
        <v>0.0</v>
      </c>
      <c r="L39" s="22">
        <v>0.0</v>
      </c>
      <c r="M39" s="22">
        <v>0.0</v>
      </c>
      <c r="N39" s="22">
        <v>0.0</v>
      </c>
      <c r="O39" s="22">
        <v>45.0</v>
      </c>
      <c r="P39" s="22">
        <v>-45.0</v>
      </c>
    </row>
    <row r="40" ht="15.75" customHeight="1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</row>
    <row r="41" ht="15.75" customHeight="1">
      <c r="A41" s="21" t="s">
        <v>95</v>
      </c>
      <c r="B41" s="22" t="s">
        <v>41</v>
      </c>
      <c r="C41" s="22">
        <v>2.0</v>
      </c>
      <c r="D41" s="22">
        <v>3.0</v>
      </c>
      <c r="E41" s="22">
        <v>3.0</v>
      </c>
      <c r="F41" s="22">
        <v>3.0</v>
      </c>
      <c r="G41" s="22">
        <v>3.0</v>
      </c>
      <c r="H41" s="22">
        <v>3.0</v>
      </c>
      <c r="I41" s="22">
        <v>2.0</v>
      </c>
      <c r="J41" s="22">
        <v>3.0</v>
      </c>
      <c r="K41" s="22">
        <v>2.0</v>
      </c>
      <c r="L41" s="22">
        <v>2.0</v>
      </c>
      <c r="M41" s="22">
        <v>2.0</v>
      </c>
      <c r="N41" s="22">
        <v>30.0</v>
      </c>
      <c r="O41" s="22">
        <v>30.0</v>
      </c>
      <c r="P41" s="22">
        <v>0.0</v>
      </c>
    </row>
    <row r="42" ht="15.75" customHeight="1">
      <c r="A42" s="21" t="s">
        <v>96</v>
      </c>
      <c r="B42" s="22" t="s">
        <v>41</v>
      </c>
      <c r="C42" s="22">
        <v>0.0</v>
      </c>
      <c r="D42" s="22">
        <v>0.0</v>
      </c>
      <c r="E42" s="22">
        <v>0.0</v>
      </c>
      <c r="F42" s="22">
        <v>0.0</v>
      </c>
      <c r="G42" s="22">
        <v>0.0</v>
      </c>
      <c r="H42" s="22">
        <v>0.0</v>
      </c>
      <c r="I42" s="22">
        <v>0.0</v>
      </c>
      <c r="J42" s="22">
        <v>0.0</v>
      </c>
      <c r="K42" s="22">
        <v>0.0</v>
      </c>
      <c r="L42" s="22">
        <v>0.0</v>
      </c>
      <c r="M42" s="22">
        <v>0.0</v>
      </c>
      <c r="N42" s="22">
        <v>0.0</v>
      </c>
      <c r="O42" s="22">
        <v>30.0</v>
      </c>
      <c r="P42" s="22">
        <v>-30.0</v>
      </c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ht="15.75" customHeight="1">
      <c r="A45" s="19" t="s">
        <v>97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ht="15.75" customHeight="1">
      <c r="A47" s="20" t="s">
        <v>71</v>
      </c>
      <c r="B47" s="20" t="s">
        <v>51</v>
      </c>
      <c r="C47" s="20" t="s">
        <v>52</v>
      </c>
      <c r="D47" s="20" t="s">
        <v>53</v>
      </c>
      <c r="E47" s="20" t="s">
        <v>54</v>
      </c>
      <c r="F47" s="20" t="s">
        <v>55</v>
      </c>
      <c r="G47" s="20" t="s">
        <v>56</v>
      </c>
      <c r="H47" s="20" t="s">
        <v>57</v>
      </c>
      <c r="I47" s="20" t="s">
        <v>58</v>
      </c>
      <c r="J47" s="20" t="s">
        <v>59</v>
      </c>
      <c r="K47" s="20" t="s">
        <v>60</v>
      </c>
      <c r="L47" s="20" t="s">
        <v>61</v>
      </c>
      <c r="M47" s="20" t="s">
        <v>62</v>
      </c>
      <c r="N47" s="20" t="s">
        <v>72</v>
      </c>
      <c r="O47" s="20" t="s">
        <v>73</v>
      </c>
      <c r="P47" s="20" t="s">
        <v>74</v>
      </c>
    </row>
    <row r="48" ht="15.75" customHeight="1">
      <c r="A48" s="21" t="s">
        <v>98</v>
      </c>
      <c r="B48" s="25" t="s">
        <v>41</v>
      </c>
      <c r="C48" s="25">
        <v>0.0</v>
      </c>
      <c r="D48" s="25">
        <v>15000.0</v>
      </c>
      <c r="E48" s="25">
        <v>15000.0</v>
      </c>
      <c r="F48" s="25">
        <v>15000.0</v>
      </c>
      <c r="G48" s="25">
        <v>15000.0</v>
      </c>
      <c r="H48" s="25">
        <v>15000.0</v>
      </c>
      <c r="I48" s="25">
        <v>15000.0</v>
      </c>
      <c r="J48" s="25">
        <v>30000.0</v>
      </c>
      <c r="K48" s="25">
        <v>30000.0</v>
      </c>
      <c r="L48" s="25">
        <v>30000.0</v>
      </c>
      <c r="M48" s="25">
        <v>45000.0</v>
      </c>
      <c r="N48" s="25">
        <v>225000.0</v>
      </c>
      <c r="O48" s="25">
        <v>225000.0</v>
      </c>
      <c r="P48" s="25">
        <v>0.0</v>
      </c>
    </row>
    <row r="49" ht="15.75" customHeight="1">
      <c r="A49" s="21" t="s">
        <v>99</v>
      </c>
      <c r="B49" s="25"/>
      <c r="C49" s="25">
        <v>0.0</v>
      </c>
      <c r="D49" s="25">
        <v>0.0</v>
      </c>
      <c r="E49" s="25">
        <v>0.0</v>
      </c>
      <c r="F49" s="25">
        <v>0.0</v>
      </c>
      <c r="G49" s="25">
        <v>0.0</v>
      </c>
      <c r="H49" s="25">
        <v>0.0</v>
      </c>
      <c r="I49" s="25">
        <v>0.0</v>
      </c>
      <c r="J49" s="25">
        <v>0.0</v>
      </c>
      <c r="K49" s="25">
        <v>0.0</v>
      </c>
      <c r="L49" s="25">
        <v>0.0</v>
      </c>
      <c r="M49" s="25">
        <v>0.0</v>
      </c>
      <c r="N49" s="25">
        <v>0.0</v>
      </c>
      <c r="O49" s="25">
        <v>225000.0</v>
      </c>
      <c r="P49" s="25">
        <v>-225000.0</v>
      </c>
    </row>
    <row r="50" ht="15.75" customHeight="1">
      <c r="A50" s="23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</row>
    <row r="51" ht="15.75" customHeight="1">
      <c r="A51" s="21" t="s">
        <v>100</v>
      </c>
      <c r="B51" s="25" t="s">
        <v>41</v>
      </c>
      <c r="C51" s="25">
        <v>0.0</v>
      </c>
      <c r="D51" s="25">
        <v>15000.0</v>
      </c>
      <c r="E51" s="25">
        <v>30000.0</v>
      </c>
      <c r="F51" s="25">
        <v>45000.0</v>
      </c>
      <c r="G51" s="25">
        <v>60000.0</v>
      </c>
      <c r="H51" s="25">
        <v>75000.0</v>
      </c>
      <c r="I51" s="25">
        <v>90000.0</v>
      </c>
      <c r="J51" s="25">
        <v>120000.0</v>
      </c>
      <c r="K51" s="25">
        <v>150000.0</v>
      </c>
      <c r="L51" s="25">
        <v>180000.0</v>
      </c>
      <c r="M51" s="25">
        <v>225000.0</v>
      </c>
      <c r="N51" s="24"/>
      <c r="O51" s="25">
        <v>225000.0</v>
      </c>
      <c r="P51" s="25">
        <v>0.0</v>
      </c>
    </row>
    <row r="52" ht="15.75" customHeight="1">
      <c r="A52" s="21" t="s">
        <v>101</v>
      </c>
      <c r="B52" s="25" t="s">
        <v>41</v>
      </c>
      <c r="C52" s="25">
        <v>0.0</v>
      </c>
      <c r="D52" s="25">
        <v>0.0</v>
      </c>
      <c r="E52" s="25">
        <v>0.0</v>
      </c>
      <c r="F52" s="25">
        <v>0.0</v>
      </c>
      <c r="G52" s="25">
        <v>0.0</v>
      </c>
      <c r="H52" s="25">
        <v>0.0</v>
      </c>
      <c r="I52" s="25">
        <v>0.0</v>
      </c>
      <c r="J52" s="25">
        <v>0.0</v>
      </c>
      <c r="K52" s="25">
        <v>0.0</v>
      </c>
      <c r="L52" s="25">
        <v>0.0</v>
      </c>
      <c r="M52" s="25">
        <v>0.0</v>
      </c>
      <c r="N52" s="24"/>
      <c r="O52" s="25">
        <v>225000.0</v>
      </c>
      <c r="P52" s="25">
        <v>-225000.0</v>
      </c>
    </row>
    <row r="53" ht="15.75" customHeight="1">
      <c r="A53" s="23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</row>
    <row r="54" ht="15.75" customHeight="1">
      <c r="A54" s="21" t="s">
        <v>102</v>
      </c>
      <c r="B54" s="25" t="s">
        <v>41</v>
      </c>
      <c r="C54" s="25">
        <v>0.0</v>
      </c>
      <c r="D54" s="25">
        <v>1250.0</v>
      </c>
      <c r="E54" s="25">
        <v>2500.0</v>
      </c>
      <c r="F54" s="25">
        <v>3750.0</v>
      </c>
      <c r="G54" s="25">
        <v>5000.0</v>
      </c>
      <c r="H54" s="25">
        <v>6250.0</v>
      </c>
      <c r="I54" s="25">
        <v>7500.0</v>
      </c>
      <c r="J54" s="25">
        <v>10000.0</v>
      </c>
      <c r="K54" s="25">
        <v>12500.0</v>
      </c>
      <c r="L54" s="25">
        <v>15000.0</v>
      </c>
      <c r="M54" s="25">
        <v>18750.0</v>
      </c>
      <c r="N54" s="24"/>
      <c r="O54" s="24"/>
      <c r="P54" s="24"/>
    </row>
    <row r="55" ht="15.75" customHeight="1">
      <c r="A55" s="21" t="s">
        <v>103</v>
      </c>
      <c r="B55" s="25" t="s">
        <v>41</v>
      </c>
      <c r="C55" s="25">
        <v>0.0</v>
      </c>
      <c r="D55" s="25">
        <v>0.0</v>
      </c>
      <c r="E55" s="25">
        <v>0.0</v>
      </c>
      <c r="F55" s="25">
        <v>0.0</v>
      </c>
      <c r="G55" s="25">
        <v>0.0</v>
      </c>
      <c r="H55" s="25">
        <v>0.0</v>
      </c>
      <c r="I55" s="25">
        <v>0.0</v>
      </c>
      <c r="J55" s="25">
        <v>0.0</v>
      </c>
      <c r="K55" s="25">
        <v>0.0</v>
      </c>
      <c r="L55" s="25">
        <v>0.0</v>
      </c>
      <c r="M55" s="25">
        <v>0.0</v>
      </c>
      <c r="N55" s="24"/>
      <c r="O55" s="24"/>
      <c r="P55" s="24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ht="15.75" customHeight="1">
      <c r="A57" s="19" t="s">
        <v>104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ht="15.75" customHeight="1">
      <c r="A59" s="20" t="s">
        <v>71</v>
      </c>
      <c r="B59" s="20" t="s">
        <v>51</v>
      </c>
      <c r="C59" s="20" t="s">
        <v>52</v>
      </c>
      <c r="D59" s="20" t="s">
        <v>53</v>
      </c>
      <c r="E59" s="20" t="s">
        <v>54</v>
      </c>
      <c r="F59" s="20" t="s">
        <v>55</v>
      </c>
      <c r="G59" s="20" t="s">
        <v>56</v>
      </c>
      <c r="H59" s="20" t="s">
        <v>57</v>
      </c>
      <c r="I59" s="20" t="s">
        <v>58</v>
      </c>
      <c r="J59" s="20" t="s">
        <v>59</v>
      </c>
      <c r="K59" s="20" t="s">
        <v>60</v>
      </c>
      <c r="L59" s="20" t="s">
        <v>61</v>
      </c>
      <c r="M59" s="20" t="s">
        <v>62</v>
      </c>
      <c r="N59" s="20" t="s">
        <v>72</v>
      </c>
      <c r="O59" s="20" t="s">
        <v>73</v>
      </c>
      <c r="P59" s="20" t="s">
        <v>74</v>
      </c>
    </row>
    <row r="60" ht="15.75" customHeight="1">
      <c r="A60" s="21" t="s">
        <v>105</v>
      </c>
      <c r="B60" s="25" t="s">
        <v>41</v>
      </c>
      <c r="C60" s="25">
        <v>0.0</v>
      </c>
      <c r="D60" s="25">
        <v>2500.0</v>
      </c>
      <c r="E60" s="25">
        <v>2500.0</v>
      </c>
      <c r="F60" s="25">
        <v>2500.0</v>
      </c>
      <c r="G60" s="25">
        <v>2500.0</v>
      </c>
      <c r="H60" s="25">
        <v>2500.0</v>
      </c>
      <c r="I60" s="25">
        <v>2500.0</v>
      </c>
      <c r="J60" s="25">
        <v>2500.0</v>
      </c>
      <c r="K60" s="25">
        <v>2500.0</v>
      </c>
      <c r="L60" s="25">
        <v>0.0</v>
      </c>
      <c r="M60" s="25">
        <v>0.0</v>
      </c>
      <c r="N60" s="25">
        <v>20000.0</v>
      </c>
      <c r="O60" s="25">
        <v>20000.0</v>
      </c>
      <c r="P60" s="25">
        <v>0.0</v>
      </c>
    </row>
    <row r="61" ht="15.75" customHeight="1">
      <c r="A61" s="21" t="s">
        <v>106</v>
      </c>
      <c r="B61" s="25" t="s">
        <v>41</v>
      </c>
      <c r="C61" s="25">
        <v>0.0</v>
      </c>
      <c r="D61" s="25">
        <v>0.0</v>
      </c>
      <c r="E61" s="25">
        <v>0.0</v>
      </c>
      <c r="F61" s="25">
        <v>0.0</v>
      </c>
      <c r="G61" s="25">
        <v>0.0</v>
      </c>
      <c r="H61" s="25">
        <v>0.0</v>
      </c>
      <c r="I61" s="25">
        <v>0.0</v>
      </c>
      <c r="J61" s="25">
        <v>0.0</v>
      </c>
      <c r="K61" s="25">
        <v>0.0</v>
      </c>
      <c r="L61" s="25">
        <v>0.0</v>
      </c>
      <c r="M61" s="25">
        <v>0.0</v>
      </c>
      <c r="N61" s="25">
        <v>0.0</v>
      </c>
      <c r="O61" s="25">
        <v>20000.0</v>
      </c>
      <c r="P61" s="25">
        <v>-20000.0</v>
      </c>
    </row>
    <row r="62" ht="15.75" customHeight="1">
      <c r="A62" s="21" t="s">
        <v>107</v>
      </c>
      <c r="B62" s="25" t="s">
        <v>41</v>
      </c>
      <c r="C62" s="25">
        <v>0.0</v>
      </c>
      <c r="D62" s="25">
        <v>2000.0</v>
      </c>
      <c r="E62" s="25">
        <v>2000.0</v>
      </c>
      <c r="F62" s="25">
        <v>2000.0</v>
      </c>
      <c r="G62" s="25">
        <v>2000.0</v>
      </c>
      <c r="H62" s="25">
        <v>2000.0</v>
      </c>
      <c r="I62" s="25">
        <v>2000.0</v>
      </c>
      <c r="J62" s="25">
        <v>2000.0</v>
      </c>
      <c r="K62" s="25">
        <v>2000.0</v>
      </c>
      <c r="L62" s="25">
        <v>2000.0</v>
      </c>
      <c r="M62" s="25">
        <v>2000.0</v>
      </c>
      <c r="N62" s="25">
        <v>20000.0</v>
      </c>
      <c r="O62" s="25">
        <v>20000.0</v>
      </c>
      <c r="P62" s="25">
        <v>0.0</v>
      </c>
    </row>
    <row r="63" ht="15.75" customHeight="1">
      <c r="A63" s="21" t="s">
        <v>108</v>
      </c>
      <c r="B63" s="25" t="s">
        <v>41</v>
      </c>
      <c r="C63" s="25">
        <v>0.0</v>
      </c>
      <c r="D63" s="25">
        <v>0.0</v>
      </c>
      <c r="E63" s="25">
        <v>0.0</v>
      </c>
      <c r="F63" s="25">
        <v>0.0</v>
      </c>
      <c r="G63" s="25">
        <v>0.0</v>
      </c>
      <c r="H63" s="25">
        <v>0.0</v>
      </c>
      <c r="I63" s="25">
        <v>0.0</v>
      </c>
      <c r="J63" s="25">
        <v>0.0</v>
      </c>
      <c r="K63" s="25">
        <v>0.0</v>
      </c>
      <c r="L63" s="25">
        <v>0.0</v>
      </c>
      <c r="M63" s="25">
        <v>0.0</v>
      </c>
      <c r="N63" s="25">
        <v>0.0</v>
      </c>
      <c r="O63" s="25">
        <v>20000.0</v>
      </c>
      <c r="P63" s="25">
        <v>-20000.0</v>
      </c>
    </row>
    <row r="64" ht="15.75" customHeight="1">
      <c r="A64" s="21" t="s">
        <v>109</v>
      </c>
      <c r="B64" s="25" t="s">
        <v>41</v>
      </c>
      <c r="C64" s="25">
        <v>0.0</v>
      </c>
      <c r="D64" s="25">
        <v>0.0</v>
      </c>
      <c r="E64" s="25">
        <v>0.0</v>
      </c>
      <c r="F64" s="25">
        <v>5000.0</v>
      </c>
      <c r="G64" s="25">
        <v>0.0</v>
      </c>
      <c r="H64" s="25">
        <v>5000.0</v>
      </c>
      <c r="I64" s="25">
        <v>0.0</v>
      </c>
      <c r="J64" s="25">
        <v>5000.0</v>
      </c>
      <c r="K64" s="25">
        <v>5000.0</v>
      </c>
      <c r="L64" s="25">
        <v>5000.0</v>
      </c>
      <c r="M64" s="25">
        <v>5000.0</v>
      </c>
      <c r="N64" s="25">
        <v>30000.0</v>
      </c>
      <c r="O64" s="25">
        <v>30000.0</v>
      </c>
      <c r="P64" s="25">
        <v>0.0</v>
      </c>
    </row>
    <row r="65" ht="15.75" customHeight="1">
      <c r="A65" s="21" t="s">
        <v>110</v>
      </c>
      <c r="B65" s="25" t="s">
        <v>111</v>
      </c>
      <c r="C65" s="25">
        <v>0.0</v>
      </c>
      <c r="D65" s="25">
        <v>0.0</v>
      </c>
      <c r="E65" s="25">
        <v>0.0</v>
      </c>
      <c r="F65" s="25">
        <v>0.0</v>
      </c>
      <c r="G65" s="25">
        <v>0.0</v>
      </c>
      <c r="H65" s="25">
        <v>0.0</v>
      </c>
      <c r="I65" s="25">
        <v>0.0</v>
      </c>
      <c r="J65" s="25">
        <v>0.0</v>
      </c>
      <c r="K65" s="25">
        <v>0.0</v>
      </c>
      <c r="L65" s="25">
        <v>0.0</v>
      </c>
      <c r="M65" s="25">
        <v>0.0</v>
      </c>
      <c r="N65" s="25">
        <v>0.0</v>
      </c>
      <c r="O65" s="25">
        <v>30000.0</v>
      </c>
      <c r="P65" s="25">
        <v>-30000.0</v>
      </c>
    </row>
    <row r="66" ht="15.75" customHeight="1">
      <c r="A66" s="23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</row>
    <row r="67" ht="15.75" customHeight="1">
      <c r="A67" s="26" t="s">
        <v>112</v>
      </c>
      <c r="B67" s="27">
        <v>0.0</v>
      </c>
      <c r="C67" s="27">
        <v>0.0</v>
      </c>
      <c r="D67" s="27">
        <v>4500.0</v>
      </c>
      <c r="E67" s="27">
        <v>4500.0</v>
      </c>
      <c r="F67" s="27">
        <v>9500.0</v>
      </c>
      <c r="G67" s="27">
        <v>4500.0</v>
      </c>
      <c r="H67" s="27">
        <v>9500.0</v>
      </c>
      <c r="I67" s="27">
        <v>4500.0</v>
      </c>
      <c r="J67" s="27">
        <v>9500.0</v>
      </c>
      <c r="K67" s="27">
        <v>9500.0</v>
      </c>
      <c r="L67" s="27">
        <v>7000.0</v>
      </c>
      <c r="M67" s="27">
        <v>7000.0</v>
      </c>
      <c r="N67" s="27">
        <v>70000.0</v>
      </c>
      <c r="O67" s="27">
        <v>70000.0</v>
      </c>
      <c r="P67" s="27">
        <v>0.0</v>
      </c>
    </row>
    <row r="68" ht="15.75" customHeight="1">
      <c r="A68" s="26" t="s">
        <v>113</v>
      </c>
      <c r="B68" s="27">
        <v>0.0</v>
      </c>
      <c r="C68" s="27">
        <v>0.0</v>
      </c>
      <c r="D68" s="27">
        <v>0.0</v>
      </c>
      <c r="E68" s="27">
        <v>0.0</v>
      </c>
      <c r="F68" s="27">
        <v>0.0</v>
      </c>
      <c r="G68" s="27">
        <v>0.0</v>
      </c>
      <c r="H68" s="27">
        <v>0.0</v>
      </c>
      <c r="I68" s="27">
        <v>0.0</v>
      </c>
      <c r="J68" s="27">
        <v>0.0</v>
      </c>
      <c r="K68" s="27">
        <v>0.0</v>
      </c>
      <c r="L68" s="27">
        <v>0.0</v>
      </c>
      <c r="M68" s="27">
        <v>0.0</v>
      </c>
      <c r="N68" s="27">
        <v>0.0</v>
      </c>
      <c r="O68" s="27">
        <v>70000.0</v>
      </c>
      <c r="P68" s="27">
        <v>-70000.0</v>
      </c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</row>
    <row r="71" ht="15.75" customHeight="1">
      <c r="A71" s="19" t="s">
        <v>114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ht="15.75" customHeight="1">
      <c r="A73" s="20" t="s">
        <v>71</v>
      </c>
      <c r="B73" s="20" t="s">
        <v>115</v>
      </c>
      <c r="C73" s="20" t="s">
        <v>116</v>
      </c>
      <c r="D73" s="20" t="s">
        <v>117</v>
      </c>
      <c r="E73" s="20" t="s">
        <v>118</v>
      </c>
      <c r="F73" s="20" t="s">
        <v>119</v>
      </c>
      <c r="G73" s="20" t="s">
        <v>120</v>
      </c>
      <c r="H73" s="20" t="s">
        <v>121</v>
      </c>
      <c r="I73" s="20" t="s">
        <v>122</v>
      </c>
      <c r="J73" s="20" t="s">
        <v>123</v>
      </c>
      <c r="K73" s="20" t="s">
        <v>124</v>
      </c>
      <c r="L73" s="18"/>
      <c r="M73" s="18"/>
      <c r="N73" s="18"/>
      <c r="O73" s="18"/>
      <c r="P73" s="18"/>
    </row>
    <row r="74" ht="15.75" customHeight="1">
      <c r="A74" s="21" t="s">
        <v>125</v>
      </c>
      <c r="B74" s="22">
        <v>1.0</v>
      </c>
      <c r="C74" s="22">
        <v>0.0</v>
      </c>
      <c r="D74" s="22">
        <v>3.0</v>
      </c>
      <c r="E74" s="22">
        <v>0.0</v>
      </c>
      <c r="F74" s="22">
        <v>4.0</v>
      </c>
      <c r="G74" s="22">
        <v>0.0</v>
      </c>
      <c r="H74" s="22">
        <v>7.0</v>
      </c>
      <c r="I74" s="22">
        <v>0.0</v>
      </c>
      <c r="J74" s="22">
        <v>15.0</v>
      </c>
      <c r="K74" s="22">
        <v>0.0</v>
      </c>
      <c r="L74" s="18"/>
      <c r="M74" s="18"/>
      <c r="N74" s="18"/>
      <c r="O74" s="18"/>
      <c r="P74" s="18"/>
    </row>
    <row r="75" ht="15.75" customHeight="1">
      <c r="A75" s="21" t="s">
        <v>126</v>
      </c>
      <c r="B75" s="22">
        <v>1.0</v>
      </c>
      <c r="C75" s="22">
        <v>0.0</v>
      </c>
      <c r="D75" s="22">
        <v>4.0</v>
      </c>
      <c r="E75" s="22">
        <v>0.0</v>
      </c>
      <c r="F75" s="22">
        <v>8.0</v>
      </c>
      <c r="G75" s="22">
        <v>0.0</v>
      </c>
      <c r="H75" s="22">
        <v>15.0</v>
      </c>
      <c r="I75" s="22">
        <v>0.0</v>
      </c>
      <c r="J75" s="22">
        <v>15.0</v>
      </c>
      <c r="K75" s="22">
        <v>0.0</v>
      </c>
      <c r="L75" s="18"/>
      <c r="M75" s="18"/>
      <c r="N75" s="18"/>
      <c r="O75" s="18"/>
      <c r="P75" s="18"/>
    </row>
    <row r="76" ht="15.75" customHeight="1">
      <c r="A76" s="21" t="s">
        <v>68</v>
      </c>
      <c r="B76" s="25">
        <v>15000.0</v>
      </c>
      <c r="C76" s="25">
        <v>0.0</v>
      </c>
      <c r="D76" s="25">
        <v>45000.0</v>
      </c>
      <c r="E76" s="25">
        <v>0.0</v>
      </c>
      <c r="F76" s="25">
        <v>60000.0</v>
      </c>
      <c r="G76" s="25">
        <v>0.0</v>
      </c>
      <c r="H76" s="25">
        <v>105000.0</v>
      </c>
      <c r="I76" s="25">
        <v>0.0</v>
      </c>
      <c r="J76" s="25">
        <v>225000.0</v>
      </c>
      <c r="K76" s="25">
        <v>0.0</v>
      </c>
      <c r="L76" s="18"/>
      <c r="M76" s="18"/>
      <c r="N76" s="18"/>
      <c r="O76" s="18"/>
      <c r="P76" s="18"/>
    </row>
    <row r="77" ht="15.75" customHeight="1">
      <c r="A77" s="21" t="s">
        <v>127</v>
      </c>
      <c r="B77" s="25">
        <v>15000.0</v>
      </c>
      <c r="C77" s="25">
        <v>0.0</v>
      </c>
      <c r="D77" s="25">
        <v>60000.0</v>
      </c>
      <c r="E77" s="25">
        <v>0.0</v>
      </c>
      <c r="F77" s="25">
        <v>120000.0</v>
      </c>
      <c r="G77" s="25">
        <v>0.0</v>
      </c>
      <c r="H77" s="25">
        <v>225000.0</v>
      </c>
      <c r="I77" s="25">
        <v>0.0</v>
      </c>
      <c r="J77" s="25">
        <v>225000.0</v>
      </c>
      <c r="K77" s="25">
        <v>0.0</v>
      </c>
      <c r="L77" s="18"/>
      <c r="M77" s="18"/>
      <c r="N77" s="18"/>
      <c r="O77" s="18"/>
      <c r="P77" s="18"/>
    </row>
    <row r="78" ht="15.75" customHeight="1">
      <c r="A78" s="21" t="s">
        <v>128</v>
      </c>
      <c r="B78" s="25">
        <v>4500.0</v>
      </c>
      <c r="C78" s="25">
        <v>0.0</v>
      </c>
      <c r="D78" s="25">
        <v>18500.0</v>
      </c>
      <c r="E78" s="25">
        <v>0.0</v>
      </c>
      <c r="F78" s="25">
        <v>23500.0</v>
      </c>
      <c r="G78" s="25">
        <v>0.0</v>
      </c>
      <c r="H78" s="25">
        <v>23500.0</v>
      </c>
      <c r="I78" s="25">
        <v>0.0</v>
      </c>
      <c r="J78" s="25">
        <v>70000.0</v>
      </c>
      <c r="K78" s="25">
        <v>0.0</v>
      </c>
      <c r="L78" s="18"/>
      <c r="M78" s="18"/>
      <c r="N78" s="18"/>
      <c r="O78" s="18"/>
      <c r="P78" s="18"/>
    </row>
    <row r="79" ht="15.75" customHeight="1">
      <c r="A79" s="21" t="s">
        <v>65</v>
      </c>
      <c r="B79" s="22">
        <v>12.0</v>
      </c>
      <c r="C79" s="22">
        <v>0.0</v>
      </c>
      <c r="D79" s="22">
        <v>12.0</v>
      </c>
      <c r="E79" s="22">
        <v>0.0</v>
      </c>
      <c r="F79" s="22">
        <v>11.0</v>
      </c>
      <c r="G79" s="22">
        <v>0.0</v>
      </c>
      <c r="H79" s="22">
        <v>10.0</v>
      </c>
      <c r="I79" s="22">
        <v>0.0</v>
      </c>
      <c r="J79" s="22">
        <v>45.0</v>
      </c>
      <c r="K79" s="22">
        <v>0.0</v>
      </c>
      <c r="L79" s="18"/>
      <c r="M79" s="18"/>
      <c r="N79" s="18"/>
      <c r="O79" s="18"/>
      <c r="P79" s="18"/>
    </row>
    <row r="80" ht="15.75" customHeight="1">
      <c r="A80" s="21" t="s">
        <v>64</v>
      </c>
      <c r="B80" s="22">
        <v>30.0</v>
      </c>
      <c r="C80" s="22">
        <v>0.0</v>
      </c>
      <c r="D80" s="22">
        <v>30.0</v>
      </c>
      <c r="E80" s="22">
        <v>0.0</v>
      </c>
      <c r="F80" s="22">
        <v>30.0</v>
      </c>
      <c r="G80" s="22">
        <v>0.0</v>
      </c>
      <c r="H80" s="22">
        <v>30.0</v>
      </c>
      <c r="I80" s="22">
        <v>0.0</v>
      </c>
      <c r="J80" s="22">
        <v>120.0</v>
      </c>
      <c r="K80" s="22">
        <v>0.0</v>
      </c>
      <c r="L80" s="18"/>
      <c r="M80" s="18"/>
      <c r="N80" s="18"/>
      <c r="O80" s="18"/>
      <c r="P80" s="18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7">
    <mergeCell ref="A1:P1"/>
    <mergeCell ref="A3:B3"/>
    <mergeCell ref="A15:B15"/>
    <mergeCell ref="A32:C32"/>
    <mergeCell ref="A45:B45"/>
    <mergeCell ref="A57:B57"/>
    <mergeCell ref="A71:B7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43"/>
    <col customWidth="1" min="2" max="2" width="17.0"/>
    <col customWidth="1" min="3" max="3" width="17.57"/>
    <col customWidth="1" min="4" max="4" width="18.43"/>
    <col customWidth="1" min="5" max="5" width="17.57"/>
    <col customWidth="1" min="6" max="7" width="18.57"/>
    <col customWidth="1" min="8" max="8" width="16.0"/>
    <col customWidth="1" min="9" max="26" width="8.71"/>
  </cols>
  <sheetData>
    <row r="1">
      <c r="A1" s="15" t="s">
        <v>129</v>
      </c>
    </row>
    <row r="2">
      <c r="A2" s="2"/>
      <c r="B2" s="2"/>
      <c r="C2" s="2"/>
      <c r="D2" s="2"/>
      <c r="E2" s="2"/>
      <c r="F2" s="2"/>
      <c r="G2" s="2"/>
      <c r="H2" s="2"/>
    </row>
    <row r="3">
      <c r="A3" s="16" t="s">
        <v>130</v>
      </c>
      <c r="B3" s="16" t="s">
        <v>131</v>
      </c>
      <c r="C3" s="16" t="s">
        <v>132</v>
      </c>
      <c r="D3" s="16" t="s">
        <v>5</v>
      </c>
      <c r="E3" s="16" t="s">
        <v>18</v>
      </c>
      <c r="F3" s="16" t="s">
        <v>133</v>
      </c>
      <c r="G3" s="16" t="s">
        <v>134</v>
      </c>
      <c r="H3" s="16" t="s">
        <v>135</v>
      </c>
    </row>
    <row r="4">
      <c r="A4" s="8" t="s">
        <v>136</v>
      </c>
      <c r="B4" s="11">
        <v>10000.0</v>
      </c>
      <c r="C4" s="8">
        <v>6.0</v>
      </c>
      <c r="D4" s="8">
        <v>0.0</v>
      </c>
      <c r="E4" s="10">
        <f t="shared" ref="E4:E6" si="1">D4/C4</f>
        <v>0</v>
      </c>
      <c r="F4" s="11">
        <f t="shared" ref="F4:F6" si="2">B4*C4</f>
        <v>60000</v>
      </c>
      <c r="G4" s="11">
        <f t="shared" ref="G4:G6" si="3">B4*D4</f>
        <v>0</v>
      </c>
      <c r="H4" s="10">
        <f t="shared" ref="H4:H6" si="4">F4/$F$7</f>
        <v>0.2666666667</v>
      </c>
    </row>
    <row r="5">
      <c r="A5" s="8" t="s">
        <v>137</v>
      </c>
      <c r="B5" s="11">
        <v>15000.0</v>
      </c>
      <c r="C5" s="8">
        <v>6.0</v>
      </c>
      <c r="D5" s="8">
        <v>0.0</v>
      </c>
      <c r="E5" s="10">
        <f t="shared" si="1"/>
        <v>0</v>
      </c>
      <c r="F5" s="11">
        <f t="shared" si="2"/>
        <v>90000</v>
      </c>
      <c r="G5" s="11">
        <f t="shared" si="3"/>
        <v>0</v>
      </c>
      <c r="H5" s="10">
        <f t="shared" si="4"/>
        <v>0.4</v>
      </c>
    </row>
    <row r="6">
      <c r="A6" s="8" t="s">
        <v>138</v>
      </c>
      <c r="B6" s="11">
        <v>25000.0</v>
      </c>
      <c r="C6" s="8">
        <v>3.0</v>
      </c>
      <c r="D6" s="8">
        <v>0.0</v>
      </c>
      <c r="E6" s="10">
        <f t="shared" si="1"/>
        <v>0</v>
      </c>
      <c r="F6" s="11">
        <f t="shared" si="2"/>
        <v>75000</v>
      </c>
      <c r="G6" s="11">
        <f t="shared" si="3"/>
        <v>0</v>
      </c>
      <c r="H6" s="10">
        <f t="shared" si="4"/>
        <v>0.3333333333</v>
      </c>
    </row>
    <row r="7">
      <c r="A7" s="12" t="s">
        <v>139</v>
      </c>
      <c r="B7" s="13"/>
      <c r="C7" s="13">
        <f t="shared" ref="C7:D7" si="5">SUM(C4:C6)</f>
        <v>15</v>
      </c>
      <c r="D7" s="13">
        <f t="shared" si="5"/>
        <v>0</v>
      </c>
      <c r="E7" s="13"/>
      <c r="F7" s="14">
        <f t="shared" ref="F7:H7" si="6">SUM(F4:F6)</f>
        <v>225000</v>
      </c>
      <c r="G7" s="14">
        <f t="shared" si="6"/>
        <v>0</v>
      </c>
      <c r="H7" s="28">
        <f t="shared" si="6"/>
        <v>1</v>
      </c>
    </row>
    <row r="8">
      <c r="A8" s="2"/>
      <c r="B8" s="2"/>
      <c r="C8" s="2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>
      <c r="A10" s="4" t="s">
        <v>140</v>
      </c>
      <c r="B10" s="2"/>
      <c r="C10" s="2"/>
      <c r="D10" s="2"/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16" t="s">
        <v>141</v>
      </c>
      <c r="B12" s="16" t="s">
        <v>142</v>
      </c>
      <c r="C12" s="16" t="s">
        <v>143</v>
      </c>
      <c r="D12" s="16" t="s">
        <v>144</v>
      </c>
      <c r="E12" s="16" t="s">
        <v>133</v>
      </c>
      <c r="F12" s="16" t="s">
        <v>134</v>
      </c>
      <c r="G12" s="2"/>
      <c r="H12" s="2"/>
    </row>
    <row r="13">
      <c r="A13" s="8" t="s">
        <v>145</v>
      </c>
      <c r="B13" s="11">
        <v>2500.0</v>
      </c>
      <c r="C13" s="8">
        <v>8.0</v>
      </c>
      <c r="D13" s="8">
        <v>0.0</v>
      </c>
      <c r="E13" s="11">
        <f t="shared" ref="E13:E15" si="7">B13*C13</f>
        <v>20000</v>
      </c>
      <c r="F13" s="11">
        <f t="shared" ref="F13:F15" si="8">B13*D13</f>
        <v>0</v>
      </c>
      <c r="G13" s="2"/>
      <c r="H13" s="2"/>
    </row>
    <row r="14">
      <c r="A14" s="8" t="s">
        <v>146</v>
      </c>
      <c r="B14" s="11">
        <v>2000.0</v>
      </c>
      <c r="C14" s="8">
        <v>10.0</v>
      </c>
      <c r="D14" s="8">
        <v>0.0</v>
      </c>
      <c r="E14" s="11">
        <f t="shared" si="7"/>
        <v>20000</v>
      </c>
      <c r="F14" s="11">
        <f t="shared" si="8"/>
        <v>0</v>
      </c>
      <c r="G14" s="2"/>
      <c r="H14" s="2"/>
    </row>
    <row r="15">
      <c r="A15" s="8" t="s">
        <v>147</v>
      </c>
      <c r="B15" s="11">
        <v>5000.0</v>
      </c>
      <c r="C15" s="8">
        <v>6.0</v>
      </c>
      <c r="D15" s="8">
        <v>0.0</v>
      </c>
      <c r="E15" s="11">
        <f t="shared" si="7"/>
        <v>30000</v>
      </c>
      <c r="F15" s="11">
        <f t="shared" si="8"/>
        <v>0</v>
      </c>
      <c r="G15" s="2"/>
      <c r="H15" s="2"/>
    </row>
    <row r="16">
      <c r="A16" s="12" t="s">
        <v>148</v>
      </c>
      <c r="B16" s="13"/>
      <c r="C16" s="13"/>
      <c r="D16" s="13"/>
      <c r="E16" s="14">
        <f t="shared" ref="E16:F16" si="9">SUM(E13:E15)</f>
        <v>70000</v>
      </c>
      <c r="F16" s="14">
        <f t="shared" si="9"/>
        <v>0</v>
      </c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4" t="s">
        <v>149</v>
      </c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16" t="s">
        <v>150</v>
      </c>
      <c r="B21" s="16" t="s">
        <v>73</v>
      </c>
      <c r="C21" s="16" t="s">
        <v>36</v>
      </c>
      <c r="D21" s="16" t="s">
        <v>18</v>
      </c>
      <c r="E21" s="2"/>
      <c r="F21" s="2"/>
      <c r="G21" s="2"/>
      <c r="H21" s="2"/>
    </row>
    <row r="22" ht="15.75" customHeight="1">
      <c r="A22" s="8" t="s">
        <v>151</v>
      </c>
      <c r="B22" s="11">
        <f t="shared" ref="B22:C22" si="10">F7</f>
        <v>225000</v>
      </c>
      <c r="C22" s="11">
        <f t="shared" si="10"/>
        <v>0</v>
      </c>
      <c r="D22" s="10">
        <f t="shared" ref="D22:D24" si="12">IF(B22&gt;0,C22/B22,0)</f>
        <v>0</v>
      </c>
      <c r="E22" s="2"/>
      <c r="F22" s="2"/>
      <c r="G22" s="2"/>
      <c r="H22" s="2"/>
    </row>
    <row r="23" ht="15.75" customHeight="1">
      <c r="A23" s="8" t="s">
        <v>20</v>
      </c>
      <c r="B23" s="11">
        <f t="shared" ref="B23:C23" si="11">E16</f>
        <v>70000</v>
      </c>
      <c r="C23" s="11">
        <f t="shared" si="11"/>
        <v>0</v>
      </c>
      <c r="D23" s="10">
        <f t="shared" si="12"/>
        <v>0</v>
      </c>
      <c r="E23" s="2"/>
      <c r="F23" s="2"/>
      <c r="G23" s="2"/>
      <c r="H23" s="2"/>
    </row>
    <row r="24" ht="15.75" customHeight="1">
      <c r="A24" s="29" t="s">
        <v>152</v>
      </c>
      <c r="B24" s="30">
        <f t="shared" ref="B24:C24" si="13">B22+B23</f>
        <v>295000</v>
      </c>
      <c r="C24" s="30">
        <f t="shared" si="13"/>
        <v>0</v>
      </c>
      <c r="D24" s="31">
        <f t="shared" si="12"/>
        <v>0</v>
      </c>
      <c r="E24" s="2"/>
      <c r="F24" s="2"/>
      <c r="G24" s="2"/>
      <c r="H24" s="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4.0"/>
    <col customWidth="1" min="11" max="26" width="8.71"/>
  </cols>
  <sheetData>
    <row r="1">
      <c r="A1" s="15" t="s">
        <v>153</v>
      </c>
      <c r="K1" s="2"/>
      <c r="L1" s="2"/>
      <c r="M1" s="2"/>
      <c r="N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16" t="s">
        <v>154</v>
      </c>
      <c r="B3" s="16" t="s">
        <v>155</v>
      </c>
      <c r="C3" s="16" t="s">
        <v>156</v>
      </c>
      <c r="D3" s="16" t="s">
        <v>137</v>
      </c>
      <c r="E3" s="16" t="s">
        <v>138</v>
      </c>
      <c r="F3" s="16" t="s">
        <v>151</v>
      </c>
      <c r="G3" s="16" t="s">
        <v>157</v>
      </c>
      <c r="H3" s="16" t="s">
        <v>158</v>
      </c>
      <c r="I3" s="16" t="s">
        <v>159</v>
      </c>
      <c r="J3" s="16" t="s">
        <v>160</v>
      </c>
      <c r="K3" s="2"/>
      <c r="L3" s="2"/>
      <c r="M3" s="2"/>
      <c r="N3" s="2"/>
    </row>
    <row r="4">
      <c r="A4" s="8" t="s">
        <v>161</v>
      </c>
      <c r="B4" s="8">
        <v>10.0</v>
      </c>
      <c r="C4" s="8">
        <v>5.0</v>
      </c>
      <c r="D4" s="8">
        <v>4.0</v>
      </c>
      <c r="E4" s="8">
        <v>1.0</v>
      </c>
      <c r="F4" s="11">
        <f t="shared" ref="F4:F6" si="1">C4*10000+D4*15000+E4*25000</f>
        <v>135000</v>
      </c>
      <c r="G4" s="11">
        <v>30000.0</v>
      </c>
      <c r="H4" s="11">
        <v>40000.0</v>
      </c>
      <c r="I4" s="11">
        <f t="shared" ref="I4:I6" si="2">F4+G4</f>
        <v>165000</v>
      </c>
      <c r="J4" s="11">
        <f t="shared" ref="J4:J6" si="3">F4+H4</f>
        <v>175000</v>
      </c>
      <c r="K4" s="2"/>
      <c r="L4" s="2"/>
      <c r="M4" s="2"/>
      <c r="N4" s="2"/>
    </row>
    <row r="5">
      <c r="A5" s="8" t="s">
        <v>162</v>
      </c>
      <c r="B5" s="8">
        <v>15.0</v>
      </c>
      <c r="C5" s="8">
        <v>6.0</v>
      </c>
      <c r="D5" s="8">
        <v>6.0</v>
      </c>
      <c r="E5" s="8">
        <v>3.0</v>
      </c>
      <c r="F5" s="11">
        <f t="shared" si="1"/>
        <v>225000</v>
      </c>
      <c r="G5" s="11">
        <v>60000.0</v>
      </c>
      <c r="H5" s="11">
        <v>80000.0</v>
      </c>
      <c r="I5" s="11">
        <f t="shared" si="2"/>
        <v>285000</v>
      </c>
      <c r="J5" s="11">
        <f t="shared" si="3"/>
        <v>305000</v>
      </c>
      <c r="K5" s="2"/>
      <c r="L5" s="2"/>
      <c r="M5" s="2"/>
      <c r="N5" s="2"/>
    </row>
    <row r="6">
      <c r="A6" s="8" t="s">
        <v>163</v>
      </c>
      <c r="B6" s="8">
        <v>20.0</v>
      </c>
      <c r="C6" s="8">
        <v>7.0</v>
      </c>
      <c r="D6" s="8">
        <v>9.0</v>
      </c>
      <c r="E6" s="8">
        <v>4.0</v>
      </c>
      <c r="F6" s="11">
        <f t="shared" si="1"/>
        <v>305000</v>
      </c>
      <c r="G6" s="11">
        <v>90000.0</v>
      </c>
      <c r="H6" s="11">
        <v>110000.0</v>
      </c>
      <c r="I6" s="11">
        <f t="shared" si="2"/>
        <v>395000</v>
      </c>
      <c r="J6" s="11">
        <f t="shared" si="3"/>
        <v>415000</v>
      </c>
      <c r="K6" s="2"/>
      <c r="L6" s="2"/>
      <c r="M6" s="2"/>
      <c r="N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>
      <c r="A8" s="4" t="s">
        <v>164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>
      <c r="A10" s="16" t="s">
        <v>154</v>
      </c>
      <c r="B10" s="16" t="s">
        <v>165</v>
      </c>
      <c r="C10" s="16" t="s">
        <v>166</v>
      </c>
      <c r="D10" s="16" t="s">
        <v>167</v>
      </c>
      <c r="E10" s="2"/>
      <c r="F10" s="2"/>
      <c r="G10" s="2"/>
      <c r="H10" s="2"/>
      <c r="I10" s="2"/>
      <c r="J10" s="2"/>
      <c r="K10" s="2"/>
      <c r="L10" s="2"/>
      <c r="M10" s="2"/>
      <c r="N10" s="2"/>
    </row>
    <row r="11">
      <c r="A11" s="8" t="s">
        <v>161</v>
      </c>
      <c r="B11" s="10">
        <v>0.25</v>
      </c>
      <c r="C11" s="11">
        <f t="shared" ref="C11:C13" si="4">(I4+J4)/2</f>
        <v>170000</v>
      </c>
      <c r="D11" s="11">
        <f t="shared" ref="D11:D13" si="5">B11*C11</f>
        <v>42500</v>
      </c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8" t="s">
        <v>162</v>
      </c>
      <c r="B12" s="10">
        <v>0.5</v>
      </c>
      <c r="C12" s="11">
        <f t="shared" si="4"/>
        <v>295000</v>
      </c>
      <c r="D12" s="11">
        <f t="shared" si="5"/>
        <v>147500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8" t="s">
        <v>163</v>
      </c>
      <c r="B13" s="10">
        <v>0.25</v>
      </c>
      <c r="C13" s="11">
        <f t="shared" si="4"/>
        <v>405000</v>
      </c>
      <c r="D13" s="11">
        <f t="shared" si="5"/>
        <v>101250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32" t="s">
        <v>168</v>
      </c>
      <c r="B14" s="2"/>
      <c r="C14" s="2"/>
      <c r="D14" s="14">
        <f>SUM(D11:D13)</f>
        <v>291250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43"/>
    <col customWidth="1" min="2" max="4" width="22.0"/>
    <col customWidth="1" min="5" max="5" width="27.0"/>
    <col customWidth="1" min="6" max="26" width="8.71"/>
  </cols>
  <sheetData>
    <row r="1">
      <c r="A1" s="15" t="s">
        <v>169</v>
      </c>
      <c r="I1" s="2"/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4" t="s">
        <v>170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>
      <c r="A5" s="16" t="s">
        <v>71</v>
      </c>
      <c r="B5" s="16" t="s">
        <v>73</v>
      </c>
      <c r="C5" s="16" t="s">
        <v>36</v>
      </c>
      <c r="D5" s="16" t="s">
        <v>25</v>
      </c>
      <c r="E5" s="16" t="s">
        <v>39</v>
      </c>
      <c r="F5" s="2"/>
      <c r="G5" s="2"/>
      <c r="H5" s="2"/>
      <c r="I5" s="2"/>
    </row>
    <row r="6">
      <c r="A6" s="8" t="s">
        <v>171</v>
      </c>
      <c r="B6" s="8" t="s">
        <v>172</v>
      </c>
      <c r="C6" s="8" t="s">
        <v>41</v>
      </c>
      <c r="D6" s="8" t="s">
        <v>173</v>
      </c>
      <c r="E6" s="8" t="s">
        <v>174</v>
      </c>
      <c r="F6" s="2"/>
      <c r="G6" s="2"/>
      <c r="H6" s="2"/>
      <c r="I6" s="2"/>
    </row>
    <row r="7">
      <c r="A7" s="8" t="s">
        <v>175</v>
      </c>
      <c r="B7" s="8" t="s">
        <v>176</v>
      </c>
      <c r="C7" s="8" t="s">
        <v>41</v>
      </c>
      <c r="D7" s="8" t="s">
        <v>173</v>
      </c>
      <c r="E7" s="8" t="s">
        <v>177</v>
      </c>
      <c r="F7" s="2"/>
      <c r="G7" s="2"/>
      <c r="H7" s="2"/>
      <c r="I7" s="2"/>
    </row>
    <row r="8">
      <c r="A8" s="8" t="s">
        <v>178</v>
      </c>
      <c r="B8" s="8" t="s">
        <v>179</v>
      </c>
      <c r="C8" s="8" t="s">
        <v>41</v>
      </c>
      <c r="D8" s="8" t="s">
        <v>173</v>
      </c>
      <c r="E8" s="8" t="s">
        <v>180</v>
      </c>
      <c r="F8" s="2"/>
      <c r="G8" s="2"/>
      <c r="H8" s="2"/>
      <c r="I8" s="2"/>
    </row>
    <row r="9">
      <c r="A9" s="8" t="s">
        <v>181</v>
      </c>
      <c r="B9" s="8" t="s">
        <v>182</v>
      </c>
      <c r="C9" s="8" t="s">
        <v>41</v>
      </c>
      <c r="D9" s="8" t="s">
        <v>173</v>
      </c>
      <c r="E9" s="8" t="s">
        <v>183</v>
      </c>
      <c r="F9" s="2"/>
      <c r="G9" s="2"/>
      <c r="H9" s="2"/>
      <c r="I9" s="2"/>
    </row>
    <row r="10">
      <c r="A10" s="8" t="s">
        <v>184</v>
      </c>
      <c r="B10" s="8" t="s">
        <v>185</v>
      </c>
      <c r="C10" s="8" t="s">
        <v>41</v>
      </c>
      <c r="D10" s="8" t="s">
        <v>173</v>
      </c>
      <c r="E10" s="8" t="s">
        <v>186</v>
      </c>
      <c r="F10" s="2"/>
      <c r="G10" s="2"/>
      <c r="H10" s="2"/>
      <c r="I10" s="2"/>
    </row>
    <row r="11">
      <c r="A11" s="2"/>
      <c r="B11" s="2"/>
      <c r="C11" s="2"/>
      <c r="D11" s="2"/>
      <c r="E11" s="2"/>
      <c r="F11" s="2"/>
      <c r="G11" s="2"/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4" t="s">
        <v>187</v>
      </c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16" t="s">
        <v>71</v>
      </c>
      <c r="B15" s="16" t="s">
        <v>73</v>
      </c>
      <c r="C15" s="16" t="s">
        <v>36</v>
      </c>
      <c r="D15" s="16" t="s">
        <v>25</v>
      </c>
      <c r="E15" s="16" t="s">
        <v>39</v>
      </c>
      <c r="F15" s="2"/>
      <c r="G15" s="2"/>
      <c r="H15" s="2"/>
      <c r="I15" s="2"/>
    </row>
    <row r="16">
      <c r="A16" s="8" t="s">
        <v>188</v>
      </c>
      <c r="B16" s="8" t="s">
        <v>189</v>
      </c>
      <c r="C16" s="8" t="s">
        <v>41</v>
      </c>
      <c r="D16" s="8" t="s">
        <v>173</v>
      </c>
      <c r="E16" s="8" t="s">
        <v>190</v>
      </c>
      <c r="F16" s="2"/>
      <c r="G16" s="2"/>
      <c r="H16" s="2"/>
      <c r="I16" s="2"/>
    </row>
    <row r="17">
      <c r="A17" s="8" t="s">
        <v>191</v>
      </c>
      <c r="B17" s="8" t="s">
        <v>192</v>
      </c>
      <c r="C17" s="8" t="s">
        <v>41</v>
      </c>
      <c r="D17" s="8" t="s">
        <v>173</v>
      </c>
      <c r="E17" s="8" t="s">
        <v>193</v>
      </c>
      <c r="F17" s="2"/>
      <c r="G17" s="2"/>
      <c r="H17" s="2"/>
      <c r="I17" s="2"/>
    </row>
    <row r="18">
      <c r="A18" s="8" t="s">
        <v>194</v>
      </c>
      <c r="B18" s="8" t="s">
        <v>195</v>
      </c>
      <c r="C18" s="8" t="s">
        <v>41</v>
      </c>
      <c r="D18" s="8" t="s">
        <v>173</v>
      </c>
      <c r="E18" s="8" t="s">
        <v>196</v>
      </c>
      <c r="F18" s="2"/>
      <c r="G18" s="2"/>
      <c r="H18" s="2"/>
      <c r="I18" s="2"/>
    </row>
    <row r="19">
      <c r="A19" s="2"/>
      <c r="B19" s="2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 ht="15.75" customHeight="1">
      <c r="A21" s="4" t="s">
        <v>197</v>
      </c>
      <c r="B21" s="2"/>
      <c r="C21" s="2"/>
      <c r="D21" s="2"/>
      <c r="E21" s="2"/>
      <c r="F21" s="2"/>
      <c r="G21" s="2"/>
      <c r="H21" s="2"/>
      <c r="I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</row>
    <row r="23" ht="15.75" customHeight="1">
      <c r="A23" s="16" t="s">
        <v>71</v>
      </c>
      <c r="B23" s="16" t="s">
        <v>73</v>
      </c>
      <c r="C23" s="16" t="s">
        <v>36</v>
      </c>
      <c r="D23" s="16" t="s">
        <v>25</v>
      </c>
      <c r="E23" s="16" t="s">
        <v>39</v>
      </c>
      <c r="F23" s="2"/>
      <c r="G23" s="2"/>
      <c r="H23" s="2"/>
      <c r="I23" s="2"/>
    </row>
    <row r="24" ht="15.75" customHeight="1">
      <c r="A24" s="8" t="s">
        <v>198</v>
      </c>
      <c r="B24" s="8" t="s">
        <v>199</v>
      </c>
      <c r="C24" s="8" t="s">
        <v>41</v>
      </c>
      <c r="D24" s="8" t="s">
        <v>173</v>
      </c>
      <c r="E24" s="8" t="s">
        <v>200</v>
      </c>
      <c r="F24" s="2"/>
      <c r="G24" s="2"/>
      <c r="H24" s="2"/>
      <c r="I24" s="2"/>
    </row>
    <row r="25" ht="15.75" customHeight="1">
      <c r="A25" s="8" t="s">
        <v>201</v>
      </c>
      <c r="B25" s="8" t="s">
        <v>189</v>
      </c>
      <c r="C25" s="8" t="s">
        <v>41</v>
      </c>
      <c r="D25" s="8" t="s">
        <v>173</v>
      </c>
      <c r="E25" s="8" t="s">
        <v>202</v>
      </c>
      <c r="F25" s="2"/>
      <c r="G25" s="2"/>
      <c r="H25" s="2"/>
      <c r="I25" s="2"/>
    </row>
    <row r="26" ht="15.75" customHeight="1">
      <c r="A26" s="8" t="s">
        <v>203</v>
      </c>
      <c r="B26" s="8" t="s">
        <v>204</v>
      </c>
      <c r="C26" s="8" t="s">
        <v>41</v>
      </c>
      <c r="D26" s="8" t="s">
        <v>173</v>
      </c>
      <c r="E26" s="8" t="s">
        <v>205</v>
      </c>
      <c r="F26" s="2"/>
      <c r="G26" s="2"/>
      <c r="H26" s="2"/>
      <c r="I26" s="2"/>
    </row>
    <row r="27" ht="15.75" customHeight="1">
      <c r="A27" s="8" t="s">
        <v>206</v>
      </c>
      <c r="B27" s="8" t="s">
        <v>207</v>
      </c>
      <c r="C27" s="8" t="s">
        <v>6</v>
      </c>
      <c r="D27" s="8" t="s">
        <v>208</v>
      </c>
      <c r="E27" s="8" t="s">
        <v>209</v>
      </c>
      <c r="F27" s="2"/>
      <c r="G27" s="2"/>
      <c r="H27" s="2"/>
      <c r="I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57"/>
    <col customWidth="1" min="2" max="5" width="22.0"/>
    <col customWidth="1" min="6" max="6" width="23.71"/>
    <col customWidth="1" min="7" max="26" width="8.71"/>
  </cols>
  <sheetData>
    <row r="1">
      <c r="A1" s="15" t="s">
        <v>210</v>
      </c>
      <c r="G1" s="2"/>
    </row>
    <row r="2">
      <c r="A2" s="2"/>
      <c r="B2" s="2"/>
      <c r="C2" s="2"/>
      <c r="D2" s="2"/>
      <c r="E2" s="2"/>
      <c r="F2" s="2"/>
      <c r="G2" s="2"/>
    </row>
    <row r="3">
      <c r="A3" s="16" t="s">
        <v>211</v>
      </c>
      <c r="B3" s="16" t="s">
        <v>212</v>
      </c>
      <c r="C3" s="16" t="s">
        <v>36</v>
      </c>
      <c r="D3" s="16" t="s">
        <v>25</v>
      </c>
      <c r="E3" s="16" t="s">
        <v>213</v>
      </c>
      <c r="F3" s="16" t="s">
        <v>39</v>
      </c>
      <c r="G3" s="2"/>
    </row>
    <row r="4">
      <c r="A4" s="8" t="s">
        <v>214</v>
      </c>
      <c r="B4" s="8" t="s">
        <v>215</v>
      </c>
      <c r="C4" s="8" t="s">
        <v>6</v>
      </c>
      <c r="D4" s="8" t="s">
        <v>208</v>
      </c>
      <c r="E4" s="8" t="s">
        <v>31</v>
      </c>
      <c r="F4" s="8" t="s">
        <v>216</v>
      </c>
      <c r="G4" s="2"/>
    </row>
    <row r="5">
      <c r="A5" s="8" t="s">
        <v>217</v>
      </c>
      <c r="B5" s="8" t="s">
        <v>218</v>
      </c>
      <c r="C5" s="8" t="s">
        <v>6</v>
      </c>
      <c r="D5" s="8" t="s">
        <v>208</v>
      </c>
      <c r="E5" s="8" t="s">
        <v>30</v>
      </c>
      <c r="F5" s="8" t="s">
        <v>219</v>
      </c>
      <c r="G5" s="2"/>
    </row>
    <row r="6">
      <c r="A6" s="8" t="s">
        <v>220</v>
      </c>
      <c r="B6" s="8" t="s">
        <v>215</v>
      </c>
      <c r="C6" s="8" t="s">
        <v>6</v>
      </c>
      <c r="D6" s="8" t="s">
        <v>208</v>
      </c>
      <c r="E6" s="8" t="s">
        <v>31</v>
      </c>
      <c r="F6" s="8" t="s">
        <v>221</v>
      </c>
      <c r="G6" s="2"/>
    </row>
    <row r="7">
      <c r="A7" s="8" t="s">
        <v>222</v>
      </c>
      <c r="B7" s="8" t="s">
        <v>223</v>
      </c>
      <c r="C7" s="8" t="s">
        <v>6</v>
      </c>
      <c r="D7" s="8" t="s">
        <v>208</v>
      </c>
      <c r="E7" s="8" t="s">
        <v>31</v>
      </c>
      <c r="F7" s="8" t="s">
        <v>224</v>
      </c>
      <c r="G7" s="2"/>
    </row>
    <row r="8">
      <c r="A8" s="8" t="s">
        <v>225</v>
      </c>
      <c r="B8" s="8" t="s">
        <v>226</v>
      </c>
      <c r="C8" s="8" t="s">
        <v>10</v>
      </c>
      <c r="D8" s="8" t="s">
        <v>208</v>
      </c>
      <c r="E8" s="8" t="s">
        <v>31</v>
      </c>
      <c r="F8" s="8" t="s">
        <v>227</v>
      </c>
      <c r="G8" s="2"/>
    </row>
    <row r="9">
      <c r="A9" s="8" t="s">
        <v>228</v>
      </c>
      <c r="B9" s="8" t="s">
        <v>4</v>
      </c>
      <c r="C9" s="8" t="s">
        <v>6</v>
      </c>
      <c r="D9" s="8" t="s">
        <v>208</v>
      </c>
      <c r="E9" s="8" t="s">
        <v>31</v>
      </c>
      <c r="F9" s="8" t="s">
        <v>229</v>
      </c>
      <c r="G9" s="2"/>
    </row>
    <row r="10">
      <c r="A10" s="2"/>
      <c r="B10" s="2"/>
      <c r="C10" s="2"/>
      <c r="D10" s="2"/>
      <c r="E10" s="2"/>
      <c r="F10" s="2"/>
      <c r="G10" s="2"/>
    </row>
    <row r="11">
      <c r="A11" s="2"/>
      <c r="B11" s="2"/>
      <c r="C11" s="2"/>
      <c r="D11" s="2"/>
      <c r="E11" s="2"/>
      <c r="F11" s="2"/>
      <c r="G11" s="2"/>
    </row>
    <row r="12">
      <c r="A12" s="2"/>
      <c r="B12" s="2"/>
      <c r="C12" s="2"/>
      <c r="D12" s="2"/>
      <c r="E12" s="2"/>
      <c r="F12" s="2"/>
      <c r="G12" s="2"/>
    </row>
    <row r="13">
      <c r="A13" s="2"/>
      <c r="B13" s="2"/>
      <c r="C13" s="2"/>
      <c r="D13" s="2"/>
      <c r="E13" s="2"/>
      <c r="F13" s="2"/>
      <c r="G13" s="2"/>
    </row>
    <row r="14">
      <c r="A14" s="2"/>
      <c r="B14" s="2"/>
      <c r="C14" s="2"/>
      <c r="D14" s="2"/>
      <c r="E14" s="2"/>
      <c r="F14" s="2"/>
      <c r="G14" s="2"/>
    </row>
    <row r="15">
      <c r="A15" s="2"/>
      <c r="B15" s="2"/>
      <c r="C15" s="2"/>
      <c r="D15" s="2"/>
      <c r="E15" s="2"/>
      <c r="F15" s="2"/>
      <c r="G15" s="2"/>
    </row>
    <row r="16">
      <c r="A16" s="2"/>
      <c r="B16" s="2"/>
      <c r="C16" s="2"/>
      <c r="D16" s="2"/>
      <c r="E16" s="2"/>
      <c r="F16" s="2"/>
      <c r="G16" s="2"/>
    </row>
    <row r="17">
      <c r="A17" s="2"/>
      <c r="B17" s="2"/>
      <c r="C17" s="2"/>
      <c r="D17" s="2"/>
      <c r="E17" s="2"/>
      <c r="F17" s="2"/>
      <c r="G17" s="2"/>
    </row>
    <row r="18">
      <c r="A18" s="2"/>
      <c r="B18" s="2"/>
      <c r="C18" s="2"/>
      <c r="D18" s="2"/>
      <c r="E18" s="2"/>
      <c r="F18" s="2"/>
      <c r="G18" s="2"/>
    </row>
    <row r="19">
      <c r="A19" s="2"/>
      <c r="B19" s="2"/>
      <c r="C19" s="2"/>
      <c r="D19" s="2"/>
      <c r="E19" s="2"/>
      <c r="F19" s="2"/>
      <c r="G1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29"/>
    <col customWidth="1" min="2" max="5" width="22.0"/>
    <col customWidth="1" min="6" max="26" width="8.71"/>
  </cols>
  <sheetData>
    <row r="1">
      <c r="A1" s="15" t="s">
        <v>230</v>
      </c>
      <c r="I1" s="2"/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4" t="s">
        <v>231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>
      <c r="A5" s="2" t="s">
        <v>232</v>
      </c>
      <c r="B5" s="2" t="s">
        <v>233</v>
      </c>
      <c r="C5" s="2"/>
      <c r="D5" s="2"/>
      <c r="E5" s="2"/>
      <c r="F5" s="2"/>
      <c r="G5" s="2"/>
      <c r="H5" s="2"/>
      <c r="I5" s="2"/>
    </row>
    <row r="6">
      <c r="A6" s="2" t="s">
        <v>234</v>
      </c>
      <c r="B6" s="2" t="s">
        <v>235</v>
      </c>
      <c r="C6" s="2"/>
      <c r="D6" s="2"/>
      <c r="E6" s="2"/>
      <c r="F6" s="2"/>
      <c r="G6" s="2"/>
      <c r="H6" s="2"/>
      <c r="I6" s="2"/>
    </row>
    <row r="7">
      <c r="A7" s="2" t="s">
        <v>236</v>
      </c>
      <c r="B7" s="2" t="s">
        <v>237</v>
      </c>
      <c r="C7" s="2"/>
      <c r="D7" s="2"/>
      <c r="E7" s="2"/>
      <c r="F7" s="2"/>
      <c r="G7" s="2"/>
      <c r="H7" s="2"/>
      <c r="I7" s="2"/>
    </row>
    <row r="8">
      <c r="A8" s="2"/>
      <c r="B8" s="2"/>
      <c r="C8" s="2"/>
      <c r="D8" s="2"/>
      <c r="E8" s="2"/>
      <c r="F8" s="2"/>
      <c r="G8" s="2"/>
      <c r="H8" s="2"/>
      <c r="I8" s="2"/>
    </row>
    <row r="9">
      <c r="A9" s="2"/>
      <c r="B9" s="2"/>
      <c r="C9" s="2"/>
      <c r="D9" s="2"/>
      <c r="E9" s="2"/>
      <c r="F9" s="2"/>
      <c r="G9" s="2"/>
      <c r="H9" s="2"/>
      <c r="I9" s="2"/>
    </row>
    <row r="10">
      <c r="A10" s="4" t="s">
        <v>238</v>
      </c>
      <c r="B10" s="2"/>
      <c r="C10" s="2"/>
      <c r="D10" s="2"/>
      <c r="E10" s="2"/>
      <c r="F10" s="2"/>
      <c r="G10" s="2"/>
      <c r="H10" s="2"/>
      <c r="I10" s="2"/>
    </row>
    <row r="11">
      <c r="A11" s="2"/>
      <c r="B11" s="2"/>
      <c r="C11" s="2"/>
      <c r="D11" s="2"/>
      <c r="E11" s="2"/>
      <c r="F11" s="2"/>
      <c r="G11" s="2"/>
      <c r="H11" s="2"/>
      <c r="I11" s="2"/>
    </row>
    <row r="12">
      <c r="A12" s="16" t="s">
        <v>154</v>
      </c>
      <c r="B12" s="16" t="s">
        <v>239</v>
      </c>
      <c r="C12" s="16" t="s">
        <v>240</v>
      </c>
      <c r="D12" s="16" t="s">
        <v>241</v>
      </c>
      <c r="E12" s="16" t="s">
        <v>242</v>
      </c>
      <c r="F12" s="2"/>
      <c r="G12" s="2"/>
      <c r="H12" s="2"/>
      <c r="I12" s="2"/>
    </row>
    <row r="13">
      <c r="A13" s="8" t="s">
        <v>161</v>
      </c>
      <c r="B13" s="11">
        <v>135000.0</v>
      </c>
      <c r="C13" s="11">
        <f t="shared" ref="C13:C15" si="1">B13*0.7</f>
        <v>94500</v>
      </c>
      <c r="D13" s="11">
        <v>35000.0</v>
      </c>
      <c r="E13" s="11">
        <f t="shared" ref="E13:E15" si="2">C13+D13</f>
        <v>129500</v>
      </c>
      <c r="F13" s="2"/>
      <c r="G13" s="2"/>
      <c r="H13" s="2"/>
      <c r="I13" s="2"/>
    </row>
    <row r="14">
      <c r="A14" s="8" t="s">
        <v>162</v>
      </c>
      <c r="B14" s="11">
        <v>225000.0</v>
      </c>
      <c r="C14" s="11">
        <f t="shared" si="1"/>
        <v>157500</v>
      </c>
      <c r="D14" s="11">
        <v>70000.0</v>
      </c>
      <c r="E14" s="11">
        <f t="shared" si="2"/>
        <v>227500</v>
      </c>
      <c r="F14" s="2"/>
      <c r="G14" s="2"/>
      <c r="H14" s="2"/>
      <c r="I14" s="2"/>
    </row>
    <row r="15">
      <c r="A15" s="8" t="s">
        <v>163</v>
      </c>
      <c r="B15" s="11">
        <v>305000.0</v>
      </c>
      <c r="C15" s="11">
        <f t="shared" si="1"/>
        <v>213500</v>
      </c>
      <c r="D15" s="11">
        <v>100000.0</v>
      </c>
      <c r="E15" s="11">
        <f t="shared" si="2"/>
        <v>313500</v>
      </c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s="2"/>
    </row>
    <row r="17">
      <c r="A17" s="2"/>
      <c r="B17" s="2"/>
      <c r="C17" s="2"/>
      <c r="D17" s="2"/>
      <c r="E17" s="2"/>
      <c r="F17" s="2"/>
      <c r="G17" s="2"/>
      <c r="H17" s="2"/>
      <c r="I17" s="2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2"/>
      <c r="B19" s="2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6" width="24.0"/>
    <col customWidth="1" min="7" max="26" width="8.71"/>
  </cols>
  <sheetData>
    <row r="1">
      <c r="A1" s="15" t="s">
        <v>243</v>
      </c>
      <c r="G1" s="2"/>
      <c r="H1" s="2"/>
    </row>
    <row r="2">
      <c r="A2" s="2"/>
      <c r="B2" s="2"/>
      <c r="C2" s="2"/>
      <c r="D2" s="2"/>
      <c r="E2" s="2"/>
      <c r="F2" s="2"/>
      <c r="G2" s="2"/>
      <c r="H2" s="2"/>
    </row>
    <row r="3">
      <c r="A3" s="16" t="s">
        <v>244</v>
      </c>
      <c r="B3" s="16" t="s">
        <v>16</v>
      </c>
      <c r="C3" s="16" t="s">
        <v>25</v>
      </c>
      <c r="D3" s="16" t="s">
        <v>245</v>
      </c>
      <c r="E3" s="16" t="s">
        <v>246</v>
      </c>
      <c r="F3" s="16" t="s">
        <v>39</v>
      </c>
      <c r="G3" s="2"/>
      <c r="H3" s="2"/>
    </row>
    <row r="4">
      <c r="A4" s="8" t="s">
        <v>247</v>
      </c>
      <c r="B4" s="8" t="s">
        <v>248</v>
      </c>
      <c r="C4" s="8" t="s">
        <v>208</v>
      </c>
      <c r="D4" s="8"/>
      <c r="E4" s="8"/>
      <c r="F4" s="8" t="s">
        <v>249</v>
      </c>
      <c r="G4" s="2"/>
      <c r="H4" s="2"/>
    </row>
    <row r="5">
      <c r="A5" s="8" t="s">
        <v>250</v>
      </c>
      <c r="B5" s="8" t="s">
        <v>248</v>
      </c>
      <c r="C5" s="8" t="s">
        <v>208</v>
      </c>
      <c r="D5" s="8"/>
      <c r="E5" s="8"/>
      <c r="F5" s="8" t="s">
        <v>251</v>
      </c>
      <c r="G5" s="2"/>
      <c r="H5" s="2"/>
    </row>
    <row r="6">
      <c r="A6" s="8" t="s">
        <v>252</v>
      </c>
      <c r="B6" s="8" t="s">
        <v>248</v>
      </c>
      <c r="C6" s="8" t="s">
        <v>253</v>
      </c>
      <c r="D6" s="8"/>
      <c r="E6" s="8"/>
      <c r="F6" s="8" t="s">
        <v>254</v>
      </c>
      <c r="G6" s="2"/>
      <c r="H6" s="2"/>
    </row>
    <row r="7">
      <c r="A7" s="8" t="s">
        <v>255</v>
      </c>
      <c r="B7" s="8" t="s">
        <v>256</v>
      </c>
      <c r="C7" s="8" t="s">
        <v>253</v>
      </c>
      <c r="D7" s="8"/>
      <c r="E7" s="8"/>
      <c r="F7" s="8" t="s">
        <v>257</v>
      </c>
      <c r="G7" s="2"/>
      <c r="H7" s="2"/>
    </row>
    <row r="8">
      <c r="A8" s="8" t="s">
        <v>258</v>
      </c>
      <c r="B8" s="8" t="s">
        <v>256</v>
      </c>
      <c r="C8" s="8" t="s">
        <v>253</v>
      </c>
      <c r="D8" s="8"/>
      <c r="E8" s="8"/>
      <c r="F8" s="8" t="s">
        <v>259</v>
      </c>
      <c r="G8" s="2"/>
      <c r="H8" s="2"/>
    </row>
    <row r="9">
      <c r="A9" s="8" t="s">
        <v>260</v>
      </c>
      <c r="B9" s="8" t="s">
        <v>256</v>
      </c>
      <c r="C9" s="8" t="s">
        <v>253</v>
      </c>
      <c r="D9" s="8"/>
      <c r="E9" s="8"/>
      <c r="F9" s="8" t="s">
        <v>261</v>
      </c>
      <c r="G9" s="2"/>
      <c r="H9" s="2"/>
    </row>
    <row r="10">
      <c r="A10" s="8" t="s">
        <v>262</v>
      </c>
      <c r="B10" s="8" t="s">
        <v>263</v>
      </c>
      <c r="C10" s="8" t="s">
        <v>253</v>
      </c>
      <c r="D10" s="8"/>
      <c r="E10" s="8"/>
      <c r="F10" s="8" t="s">
        <v>264</v>
      </c>
      <c r="G10" s="2"/>
      <c r="H10" s="2"/>
    </row>
    <row r="11">
      <c r="A11" s="8" t="s">
        <v>265</v>
      </c>
      <c r="B11" s="8" t="s">
        <v>263</v>
      </c>
      <c r="C11" s="8" t="s">
        <v>253</v>
      </c>
      <c r="D11" s="8"/>
      <c r="E11" s="8"/>
      <c r="F11" s="8" t="s">
        <v>266</v>
      </c>
      <c r="G11" s="2"/>
      <c r="H11" s="2"/>
    </row>
    <row r="12">
      <c r="A12" s="8" t="s">
        <v>267</v>
      </c>
      <c r="B12" s="8" t="s">
        <v>263</v>
      </c>
      <c r="C12" s="8" t="s">
        <v>253</v>
      </c>
      <c r="D12" s="8"/>
      <c r="E12" s="8"/>
      <c r="F12" s="8" t="s">
        <v>229</v>
      </c>
      <c r="G12" s="2"/>
      <c r="H12" s="2"/>
    </row>
    <row r="13">
      <c r="A13" s="8" t="s">
        <v>268</v>
      </c>
      <c r="B13" s="8" t="s">
        <v>269</v>
      </c>
      <c r="C13" s="8" t="s">
        <v>253</v>
      </c>
      <c r="D13" s="8"/>
      <c r="E13" s="8"/>
      <c r="F13" s="8" t="s">
        <v>212</v>
      </c>
      <c r="G13" s="2"/>
      <c r="H13" s="2"/>
    </row>
    <row r="14">
      <c r="A14" s="8" t="s">
        <v>270</v>
      </c>
      <c r="B14" s="8" t="s">
        <v>269</v>
      </c>
      <c r="C14" s="8" t="s">
        <v>253</v>
      </c>
      <c r="D14" s="8"/>
      <c r="E14" s="8"/>
      <c r="F14" s="8" t="s">
        <v>271</v>
      </c>
      <c r="G14" s="2"/>
      <c r="H14" s="2"/>
    </row>
    <row r="15">
      <c r="A15" s="8" t="s">
        <v>272</v>
      </c>
      <c r="B15" s="8" t="s">
        <v>269</v>
      </c>
      <c r="C15" s="8" t="s">
        <v>253</v>
      </c>
      <c r="D15" s="8"/>
      <c r="E15" s="8"/>
      <c r="F15" s="8" t="s">
        <v>273</v>
      </c>
      <c r="G15" s="2"/>
      <c r="H15" s="2"/>
    </row>
    <row r="16">
      <c r="A16" s="8" t="s">
        <v>274</v>
      </c>
      <c r="B16" s="8" t="s">
        <v>269</v>
      </c>
      <c r="C16" s="8" t="s">
        <v>253</v>
      </c>
      <c r="D16" s="8"/>
      <c r="E16" s="8"/>
      <c r="F16" s="8" t="s">
        <v>275</v>
      </c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